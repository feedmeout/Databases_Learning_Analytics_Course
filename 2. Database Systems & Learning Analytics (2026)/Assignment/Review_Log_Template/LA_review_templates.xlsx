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Οδηγίες" sheetId="1" state="visible" r:id="rId1"/>
    <sheet xmlns:r="http://schemas.openxmlformats.org/officeDocument/2006/relationships" name="0_Συμβολοσειρά" sheetId="2" state="visible" r:id="rId2"/>
    <sheet xmlns:r="http://schemas.openxmlformats.org/officeDocument/2006/relationships" name="1_Αναζήτηση" sheetId="3" state="visible" r:id="rId3"/>
    <sheet xmlns:r="http://schemas.openxmlformats.org/officeDocument/2006/relationships" name="2_Επιλογή" sheetId="4" state="visible" r:id="rId4"/>
    <sheet xmlns:r="http://schemas.openxmlformats.org/officeDocument/2006/relationships" name="PRISMA_αριθμοί" sheetId="5" state="visible" r:id="rId5"/>
    <sheet xmlns:r="http://schemas.openxmlformats.org/officeDocument/2006/relationships" name="3_Εξαγωγή" sheetId="6" state="visible" r:id="rId6"/>
    <sheet xmlns:r="http://schemas.openxmlformats.org/officeDocument/2006/relationships" name="4_Ποιότητα" sheetId="7" state="visible" r:id="rId7"/>
    <sheet xmlns:r="http://schemas.openxmlformats.org/officeDocument/2006/relationships" name="5_Σύνθεση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Arial"/>
      <b val="1"/>
      <color rgb="0012233F"/>
      <sz val="15"/>
    </font>
    <font>
      <name val="Arial"/>
      <b val="1"/>
      <color rgb="0012233F"/>
      <sz val="11"/>
    </font>
    <font>
      <name val="Arial"/>
      <sz val="11"/>
    </font>
    <font>
      <name val="Arial"/>
      <b val="1"/>
      <color rgb="0012233F"/>
      <sz val="14"/>
    </font>
    <font>
      <name val="Arial"/>
      <color rgb="0055657C"/>
      <sz val="10"/>
    </font>
    <font>
      <name val="Arial"/>
      <b val="1"/>
      <color rgb="0012233F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00"/>
      <sz val="10"/>
    </font>
    <font>
      <name val="Consolas"/>
      <color rgb="00000000"/>
      <sz val="10"/>
    </font>
    <font>
      <name val="Arial"/>
      <color rgb="008A5A00"/>
      <sz val="10"/>
    </font>
    <font>
      <name val="Arial"/>
      <b val="1"/>
      <i val="1"/>
      <color rgb="0055657C"/>
      <sz val="10"/>
    </font>
    <font>
      <name val="Arial"/>
      <i val="1"/>
      <color rgb="0055657C"/>
      <sz val="10"/>
    </font>
    <font>
      <name val="Consolas"/>
      <i val="1"/>
      <color rgb="0055657C"/>
      <sz val="10"/>
    </font>
    <font>
      <name val="Arial"/>
      <color rgb="0012233F"/>
      <sz val="10"/>
    </font>
    <font>
      <name val="Arial"/>
      <color rgb="0055657C"/>
      <sz val="9"/>
    </font>
    <font>
      <name val="Arial"/>
      <b val="1"/>
      <sz val="11"/>
    </font>
    <font>
      <name val="Arial"/>
      <b val="1"/>
      <sz val="12"/>
    </font>
    <font>
      <name val="Arial"/>
      <i val="1"/>
      <sz val="10"/>
    </font>
    <font>
      <name val="Arial"/>
      <b val="1"/>
      <color rgb="0012233F"/>
      <sz val="12"/>
    </font>
    <font>
      <name val="Arial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2233F"/>
      </patternFill>
    </fill>
    <fill>
      <patternFill patternType="solid">
        <fgColor rgb="00FFF4DA"/>
      </patternFill>
    </fill>
    <fill>
      <patternFill patternType="solid">
        <fgColor rgb="00F0F0F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3DDEB"/>
      </left>
      <right style="thin">
        <color rgb="00D3DDEB"/>
      </right>
      <top style="thin">
        <color rgb="00D3DDEB"/>
      </top>
      <bottom style="thin">
        <color rgb="00D3DDE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vertical="center"/>
    </xf>
    <xf numFmtId="0" fontId="8" fillId="0" borderId="1" pivotButton="0" quotePrefix="0" xfId="0"/>
    <xf numFmtId="0" fontId="8" fillId="3" borderId="1" applyAlignment="1" pivotButton="0" quotePrefix="0" xfId="0">
      <alignment vertical="top" wrapText="1"/>
    </xf>
    <xf numFmtId="0" fontId="9" fillId="0" borderId="1" pivotButton="0" quotePrefix="0" xfId="0"/>
    <xf numFmtId="0" fontId="9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3" borderId="1" pivotButton="0" quotePrefix="0" xfId="0"/>
    <xf numFmtId="0" fontId="11" fillId="0" borderId="1" applyAlignment="1" pivotButton="0" quotePrefix="0" xfId="0">
      <alignment vertical="top" wrapText="1"/>
    </xf>
    <xf numFmtId="0" fontId="0" fillId="0" borderId="1" pivotButton="0" quotePrefix="0" xfId="0"/>
    <xf numFmtId="0" fontId="8" fillId="0" borderId="1" applyAlignment="1" pivotButton="0" quotePrefix="0" xfId="0">
      <alignment vertical="top"/>
    </xf>
    <xf numFmtId="0" fontId="12" fillId="0" borderId="1" applyAlignment="1" pivotButton="0" quotePrefix="0" xfId="0">
      <alignment vertical="top" wrapText="1"/>
    </xf>
    <xf numFmtId="0" fontId="13" fillId="0" borderId="0" pivotButton="0" quotePrefix="0" xfId="0"/>
    <xf numFmtId="0" fontId="13" fillId="4" borderId="1" applyAlignment="1" pivotButton="0" quotePrefix="0" xfId="0">
      <alignment vertical="top" wrapText="1"/>
    </xf>
    <xf numFmtId="0" fontId="14" fillId="4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4" fillId="4" borderId="1" pivotButton="0" quotePrefix="0" xfId="0"/>
    <xf numFmtId="0" fontId="15" fillId="0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18" fillId="0" borderId="1" pivotButton="0" quotePrefix="0" xfId="0"/>
    <xf numFmtId="0" fontId="9" fillId="5" borderId="1" applyAlignment="1" pivotButton="0" quotePrefix="0" xfId="0">
      <alignment vertical="top" wrapText="1"/>
    </xf>
    <xf numFmtId="0" fontId="2" fillId="0" borderId="1" pivotButton="0" quotePrefix="0" xfId="0"/>
    <xf numFmtId="0" fontId="3" fillId="0" borderId="1" pivotButton="0" quotePrefix="0" xfId="0"/>
    <xf numFmtId="0" fontId="19" fillId="0" borderId="1" pivotButton="0" quotePrefix="0" xfId="0"/>
    <xf numFmtId="0" fontId="20" fillId="0" borderId="1" pivotButton="0" quotePrefix="0" xfId="0"/>
    <xf numFmtId="0" fontId="21" fillId="0" borderId="0" pivotButton="0" quotePrefix="0" xfId="0"/>
    <xf numFmtId="0" fontId="3" fillId="0" borderId="0" pivotButton="0" quotePrefix="0" xfId="0"/>
    <xf numFmtId="0" fontId="18" fillId="0" borderId="0" pivotButton="0" quotePrefix="0" xfId="0"/>
    <xf numFmtId="0" fontId="3" fillId="3" borderId="0" pivotButton="0" quotePrefix="0" xfId="0"/>
    <xf numFmtId="0" fontId="20" fillId="0" borderId="0" applyAlignment="1" pivotButton="0" quotePrefix="0" xfId="0">
      <alignment vertical="top" wrapText="1"/>
    </xf>
    <xf numFmtId="0" fontId="2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Συστηματική βιβλιογραφική ανασκόπηση: αρχείο προτύπων</t>
        </is>
      </c>
    </row>
    <row r="3" ht="48" customHeight="1">
      <c r="A3" s="2" t="inlineStr">
        <is>
          <t>Σκοπός</t>
        </is>
      </c>
      <c r="B3" s="3" t="inlineStr">
        <is>
          <t>Προαιρετικό εργαλείο για τη δική σας ανασκόπηση· δεν χρειάζεται ποτέ στο μάθημα. Ένα φύλλο για κάθε βήμα της ανασκόπησης. Ό,τι καταγράφετε εδώ μεταφέρεται στη Μεθοδολογία και στα Αποτελέσματα της εργασίας.</t>
        </is>
      </c>
    </row>
    <row r="4" ht="48" customHeight="1">
      <c r="A4" s="2" t="inlineStr">
        <is>
          <t>Πού γράφετε</t>
        </is>
      </c>
      <c r="B4" s="3" t="inlineStr">
        <is>
          <t>Μόνο στα κελιά με κίτρινο φόντο. Τα λευκά κελιά περιέχουν τύπους και υπολογίζονται αυτόματα.</t>
        </is>
      </c>
    </row>
    <row r="5" ht="48" customHeight="1">
      <c r="A5" s="2" t="inlineStr">
        <is>
          <t>Γραμμές παραδείγματος</t>
        </is>
      </c>
      <c r="B5" s="3" t="inlineStr">
        <is>
          <t>Οι γκρίζες γραμμές με πλάγια γράμματα είναι παραδείγματα. Διαγράψτε το περιεχόμενό τους πριν ξεκινήσετε: αλλιώς προσμετρώνται στους αριθμούς του PRISMA.</t>
        </is>
      </c>
    </row>
    <row r="6" ht="48" customHeight="1">
      <c r="A6" s="2" t="inlineStr">
        <is>
          <t>0_Συμβολοσειρά</t>
        </is>
      </c>
      <c r="B6" s="3" t="inlineStr">
        <is>
          <t>Κατασκευή της συμβολοσειράς αναζήτησης από τις έννοιες του ερωτήματός σας. Γράφετε συνώνυμα, ένα ανά κελί· η συμβολοσειρά συντίθεται αυτόματα για Scopus, ERIC και σε γενική μορφή. Την αντιγράφετε στη βάση και, όπως εκτελέστηκε, στο φύλλο 1_Αναζήτηση.</t>
        </is>
      </c>
    </row>
    <row r="7" ht="48" customHeight="1">
      <c r="A7" s="2" t="inlineStr">
        <is>
          <t>1_Αναζήτηση</t>
        </is>
      </c>
      <c r="B7" s="3" t="inlineStr">
        <is>
          <t>Ημερολόγιο αναζήτησης. Μία γραμμή για κάθε αναζήτηση σε κάθε βάση δεδομένων, με τη συμβολοσειρά ακριβώς όπως εκτελέστηκε.</t>
        </is>
      </c>
    </row>
    <row r="8" ht="48" customHeight="1">
      <c r="A8" s="2" t="inlineStr">
        <is>
          <t>2_Επιλογή</t>
        </is>
      </c>
      <c r="B8" s="3" t="inlineStr">
        <is>
          <t>Μία γραμμή για κάθε εγγραφή που εντοπίστηκε. Τα δύο μέλη αποφασίζουν ανεξάρτητα στο Στάδιο 1 (τίτλος και περίληψη). Η στήλη «Συμφωνία» δείχνει πού χρειάζεται συζήτηση.</t>
        </is>
      </c>
    </row>
    <row r="9" ht="48" customHeight="1">
      <c r="A9" s="2" t="inlineStr">
        <is>
          <t>PRISMA_αριθμοί</t>
        </is>
      </c>
      <c r="B9" s="3" t="inlineStr">
        <is>
          <t>Υπολογίζει αυτόματα τους αριθμούς του διαγράμματος ροής PRISMA 2020 από το φύλλο 2_Επιλογή και ελέγχει ότι αθροίζονται.</t>
        </is>
      </c>
    </row>
    <row r="10" ht="48" customHeight="1">
      <c r="A10" s="2" t="inlineStr">
        <is>
          <t>3_Εξαγωγή</t>
        </is>
      </c>
      <c r="B10" s="3" t="inlineStr">
        <is>
          <t>Πίνακας εξαγωγής δεδομένων. Μία γραμμή ανά μελέτη που εντάχθηκε. Οι στήλες ακολουθούν τις τέσσερις ερωτήσεις του μαθήματος: Τι, Ποιος, Γιατί, Πώς.</t>
        </is>
      </c>
    </row>
    <row r="11" ht="48" customHeight="1">
      <c r="A11" s="2" t="inlineStr">
        <is>
          <t>4_Ποιότητα</t>
        </is>
      </c>
      <c r="B11" s="3" t="inlineStr">
        <is>
          <t>Πέντε ερωτήσεις αξιολόγησης ανά μελέτη, με απάντηση ΝΑΙ, ΕΝ ΜΕΡΕΙ ή ΟΧΙ. Ο βαθμός (0 έως 5) υπολογίζεται αυτόματα: ΝΑΙ = 1, ΕΝ ΜΕΡΕΙ = 0,5, ΟΧΙ = 0.</t>
        </is>
      </c>
    </row>
    <row r="12" ht="48" customHeight="1">
      <c r="A12" s="2" t="inlineStr">
        <is>
          <t>5_Σύνθεση</t>
        </is>
      </c>
      <c r="B12" s="3" t="inlineStr">
        <is>
          <t>Μία γραμμή ανά ισχυρισμό, ομαδοποιημένες ανά ερευνητικό ερώτημα: ποιες μελέτες τον στηρίζουν, ποιες τον αντικρούουν, με ποια ποιότητα, και η πρόταση όπως θα γραφτεί στα Αποτελέσματα.</t>
        </is>
      </c>
    </row>
    <row r="13" ht="48" customHeight="1">
      <c r="A13" s="2" t="inlineStr">
        <is>
          <t>Πηγές</t>
        </is>
      </c>
      <c r="B13" s="3" t="inlineStr">
        <is>
          <t>Διάγραμμα ροής και κατάλογος ελέγχου: Page et al. (2021), The PRISMA 2020 statement, BMJ. Για πληρέστερη αξιολόγηση ποιότητας: Hong et al. (2018), Mixed Methods Appraisal Tool (MMAT).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</cols>
  <sheetData>
    <row r="1">
      <c r="A1" s="4" t="inlineStr">
        <is>
          <t>Κατασκευή συμβολοσειράς αναζήτησης</t>
        </is>
      </c>
    </row>
    <row r="2" ht="30" customHeight="1">
      <c r="A2" s="5" t="inlineStr">
        <is>
          <t>Μία στήλη ανά έννοια του ερωτήματός σας (PCC ή PICO), ένα συνώνυμο ανά κελί. Μέσα στη στήλη οι όροι ενώνονται με OR, οι στήλες μεταξύ τους με AND. Οι φράσεις μπαίνουν αυτόματα σε ευθέα εισαγωγικά.</t>
        </is>
      </c>
    </row>
    <row r="3">
      <c r="A3" s="6" t="inlineStr">
        <is>
          <t>Η δική σας συμβολοσειρά: γράφετε μόνο στα κίτρινα κελιά. Αντιγράψτε το αποτέλεσμα στη βάση δεδομένων και, όπως ακριβώς εκτελέστηκε, στο φύλλο 1_Αναζήτηση.</t>
        </is>
      </c>
    </row>
    <row r="4" ht="22" customHeight="1">
      <c r="A4" s="7" t="inlineStr"/>
      <c r="B4" s="7" t="inlineStr">
        <is>
          <t>Έννοια 1</t>
        </is>
      </c>
      <c r="C4" s="7" t="inlineStr">
        <is>
          <t>Έννοια 2</t>
        </is>
      </c>
      <c r="D4" s="7" t="inlineStr">
        <is>
          <t>Έννοια 3</t>
        </is>
      </c>
      <c r="E4" s="7" t="inlineStr">
        <is>
          <t>Έννοια 4</t>
        </is>
      </c>
      <c r="F4" s="7" t="inlineStr">
        <is>
          <t>Έννοια 5</t>
        </is>
      </c>
    </row>
    <row r="5">
      <c r="A5" s="8" t="inlineStr">
        <is>
          <t>Όνομα έννοιας (για εσάς)</t>
        </is>
      </c>
      <c r="B5" s="9" t="n"/>
      <c r="C5" s="9" t="n"/>
      <c r="D5" s="9" t="n"/>
      <c r="E5" s="9" t="n"/>
      <c r="F5" s="9" t="n"/>
    </row>
    <row r="6">
      <c r="A6" s="10" t="inlineStr">
        <is>
          <t>Όρος 1</t>
        </is>
      </c>
      <c r="B6" s="11" t="n"/>
      <c r="C6" s="11" t="n"/>
      <c r="D6" s="11" t="n"/>
      <c r="E6" s="11" t="n"/>
      <c r="F6" s="11" t="n"/>
    </row>
    <row r="7">
      <c r="A7" s="10" t="inlineStr">
        <is>
          <t>Όρος 2</t>
        </is>
      </c>
      <c r="B7" s="11" t="n"/>
      <c r="C7" s="11" t="n"/>
      <c r="D7" s="11" t="n"/>
      <c r="E7" s="11" t="n"/>
      <c r="F7" s="11" t="n"/>
    </row>
    <row r="8">
      <c r="A8" s="10" t="inlineStr">
        <is>
          <t>Όρος 3</t>
        </is>
      </c>
      <c r="B8" s="11" t="n"/>
      <c r="C8" s="11" t="n"/>
      <c r="D8" s="11" t="n"/>
      <c r="E8" s="11" t="n"/>
      <c r="F8" s="11" t="n"/>
    </row>
    <row r="9">
      <c r="A9" s="10" t="inlineStr">
        <is>
          <t>Όρος 4</t>
        </is>
      </c>
      <c r="B9" s="11" t="n"/>
      <c r="C9" s="11" t="n"/>
      <c r="D9" s="11" t="n"/>
      <c r="E9" s="11" t="n"/>
      <c r="F9" s="11" t="n"/>
    </row>
    <row r="10">
      <c r="A10" s="10" t="inlineStr">
        <is>
          <t>Όρος 5</t>
        </is>
      </c>
      <c r="B10" s="11" t="n"/>
      <c r="C10" s="11" t="n"/>
      <c r="D10" s="11" t="n"/>
      <c r="E10" s="11" t="n"/>
      <c r="F10" s="11" t="n"/>
    </row>
    <row r="11">
      <c r="A11" s="10" t="inlineStr">
        <is>
          <t>Όρος 6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Όρος 7</t>
        </is>
      </c>
      <c r="B12" s="11" t="n"/>
      <c r="C12" s="11" t="n"/>
      <c r="D12" s="11" t="n"/>
      <c r="E12" s="11" t="n"/>
      <c r="F12" s="11" t="n"/>
    </row>
    <row r="13">
      <c r="A13" s="10" t="inlineStr">
        <is>
          <t>Όρος 8</t>
        </is>
      </c>
      <c r="B13" s="11" t="n"/>
      <c r="C13" s="11" t="n"/>
      <c r="D13" s="11" t="n"/>
      <c r="E13" s="11" t="n"/>
      <c r="F13" s="11" t="n"/>
    </row>
    <row r="14" ht="48" customHeight="1">
      <c r="A14" s="12" t="inlineStr">
        <is>
          <t>Μπλοκ (συντίθεται αυτόματα)</t>
        </is>
      </c>
      <c r="B14" s="13">
        <f>IF(B229="","","("&amp;B229&amp;")")</f>
        <v/>
      </c>
      <c r="C14" s="13">
        <f>IF(C229="","","("&amp;C229&amp;")")</f>
        <v/>
      </c>
      <c r="D14" s="13">
        <f>IF(D229="","","("&amp;D229&amp;")")</f>
        <v/>
      </c>
      <c r="E14" s="13">
        <f>IF(E229="","","("&amp;E229&amp;")")</f>
        <v/>
      </c>
      <c r="F14" s="13">
        <f>IF(F229="","","("&amp;F229&amp;")")</f>
        <v/>
      </c>
    </row>
    <row r="16">
      <c r="A16" s="10" t="inlineStr">
        <is>
          <t>Από έτος δημοσίευσης (π.χ. 2019)</t>
        </is>
      </c>
      <c r="B16" s="14" t="n"/>
    </row>
    <row r="17">
      <c r="A17" s="10" t="inlineStr">
        <is>
          <t>Γλώσσα, μόνο Scopus (π.χ. english)</t>
        </is>
      </c>
      <c r="B17" s="14" t="n"/>
    </row>
    <row r="19" ht="62" customHeight="1">
      <c r="A19" s="12" t="inlineStr">
        <is>
          <t>Scopus (Advanced search)</t>
        </is>
      </c>
      <c r="B19" s="15">
        <f>IF(F232="","","TITLE-ABS-KEY("&amp;F232&amp;")"&amp;IF(B16="",""," AND PUBYEAR &gt; "&amp;(B16-1))&amp;IF(B17="",""," AND LANGUAGE("&amp;B17&amp;")"))</f>
        <v/>
      </c>
      <c r="C19" s="16" t="n"/>
      <c r="D19" s="16" t="n"/>
      <c r="E19" s="16" t="n"/>
      <c r="F19" s="16" t="n"/>
    </row>
    <row r="20" ht="62" customHeight="1">
      <c r="A20" s="12" t="inlineStr">
        <is>
          <t>ERIC (eric.ed.gov)</t>
        </is>
      </c>
      <c r="B20" s="15">
        <f>IF(F232="","",F232&amp;IF(B16="",""," pubyearmin:"&amp;B16))</f>
        <v/>
      </c>
      <c r="C20" s="16" t="n"/>
      <c r="D20" s="16" t="n"/>
      <c r="E20" s="16" t="n"/>
      <c r="F20" s="16" t="n"/>
    </row>
    <row r="21" ht="62" customHeight="1">
      <c r="A21" s="12" t="inlineStr">
        <is>
          <t>Γενική μορφή (IEEE Xplore, ACM Digital Library)</t>
        </is>
      </c>
      <c r="B21" s="15">
        <f>IF(F232="","",F232)</f>
        <v/>
      </c>
      <c r="C21" s="16" t="n"/>
      <c r="D21" s="16" t="n"/>
      <c r="E21" s="16" t="n"/>
      <c r="F21" s="16" t="n"/>
    </row>
    <row r="22" ht="44" customHeight="1">
      <c r="A22" s="17" t="inlineStr">
        <is>
          <t>Έλεγχοι</t>
        </is>
      </c>
      <c r="B22" s="18">
        <f>IF(F232="","","Αστερίσκοι: "&amp;SUMPRODUCT(LEN(B6:F13)-LEN(SUBSTITUTE(B6:F13,"*","")))&amp;" (το IEEE Xplore δέχεται έως 10 ανά αναζήτηση). "&amp;IF(SUMPRODUCT(--ISNUMBER(FIND("*",B6:F13)),--((ISNUMBER(FIND(" ",TRIM(B6:F13)))+ISNUMBER(FIND("-",B6:F13)))&gt;0))&gt;0,"ΠΡΟΣΟΧΗ: "&amp;SUMPRODUCT(--ISNUMBER(FIND("*",B6:F13)),--((ISNUMBER(FIND(" ",TRIM(B6:F13)))+ISNUMBER(FIND("-",B6:F13)))&gt;0))&amp;" όρος ή όροι έχουν αστερίσκο μέσα σε φράση ή μετά από ενωτικό. Στο ERIC δεν επιστρέφουν αποτελέσματα: γράψτε τις παραλλαγές ολόκληρες.","Κανένας αστερίσκος μέσα σε φράση ή μετά από ενωτικό."))</f>
        <v/>
      </c>
      <c r="C22" s="16" t="n"/>
      <c r="D22" s="16" t="n"/>
      <c r="E22" s="16" t="n"/>
      <c r="F22" s="16" t="n"/>
    </row>
    <row r="24">
      <c r="A24" s="19" t="inlineStr">
        <is>
          <t>Παράδειγμα (το ερώτημα της Εβδομάδας 1). Δεν χρειάζεται να το σβήσετε: δεν επηρεάζει τη δική σας συμβολοσειρά.</t>
        </is>
      </c>
    </row>
    <row r="25" ht="22" customHeight="1">
      <c r="A25" s="7" t="inlineStr"/>
      <c r="B25" s="7" t="inlineStr">
        <is>
          <t>Έννοια 1</t>
        </is>
      </c>
      <c r="C25" s="7" t="inlineStr">
        <is>
          <t>Έννοια 2</t>
        </is>
      </c>
      <c r="D25" s="7" t="inlineStr">
        <is>
          <t>Έννοια 3</t>
        </is>
      </c>
      <c r="E25" s="7" t="inlineStr">
        <is>
          <t>Έννοια 4</t>
        </is>
      </c>
      <c r="F25" s="7" t="inlineStr">
        <is>
          <t>Έννοια 5</t>
        </is>
      </c>
    </row>
    <row r="26">
      <c r="A26" s="8" t="inlineStr">
        <is>
          <t>Όνομα έννοιας (για εσάς)</t>
        </is>
      </c>
      <c r="B26" s="20" t="inlineStr">
        <is>
          <t>learning analytics</t>
        </is>
      </c>
      <c r="C26" s="20" t="inlineStr">
        <is>
          <t>πίνακες πληροφοριών</t>
        </is>
      </c>
      <c r="D26" s="20" t="inlineStr">
        <is>
          <t>αυτορρύθμιση</t>
        </is>
      </c>
      <c r="E26" s="20" t="inlineStr">
        <is>
          <t>ανώτατη εκπαίδευση</t>
        </is>
      </c>
      <c r="F26" s="20" t="n"/>
    </row>
    <row r="27">
      <c r="A27" s="10" t="inlineStr">
        <is>
          <t>Όρος 1</t>
        </is>
      </c>
      <c r="B27" s="21" t="inlineStr">
        <is>
          <t>learning analytics</t>
        </is>
      </c>
      <c r="C27" s="21" t="inlineStr">
        <is>
          <t>dashboard*</t>
        </is>
      </c>
      <c r="D27" s="21" t="inlineStr">
        <is>
          <t>self-regulated learning</t>
        </is>
      </c>
      <c r="E27" s="21" t="inlineStr">
        <is>
          <t>higher education</t>
        </is>
      </c>
      <c r="F27" s="21" t="n"/>
    </row>
    <row r="28">
      <c r="A28" s="10" t="inlineStr">
        <is>
          <t>Όρος 2</t>
        </is>
      </c>
      <c r="B28" s="21" t="n"/>
      <c r="C28" s="21" t="inlineStr">
        <is>
          <t>visual analytics</t>
        </is>
      </c>
      <c r="D28" s="21" t="inlineStr">
        <is>
          <t>self-regulation</t>
        </is>
      </c>
      <c r="E28" s="21" t="inlineStr">
        <is>
          <t>universit*</t>
        </is>
      </c>
      <c r="F28" s="21" t="n"/>
    </row>
    <row r="29">
      <c r="A29" s="10" t="inlineStr">
        <is>
          <t>Όρος 3</t>
        </is>
      </c>
      <c r="B29" s="21" t="n"/>
      <c r="C29" s="21" t="n"/>
      <c r="D29" s="21" t="inlineStr">
        <is>
          <t>SRL</t>
        </is>
      </c>
      <c r="E29" s="21" t="inlineStr">
        <is>
          <t>undergraduate*</t>
        </is>
      </c>
      <c r="F29" s="21" t="n"/>
    </row>
    <row r="30">
      <c r="A30" s="10" t="inlineStr">
        <is>
          <t>Όρος 4</t>
        </is>
      </c>
      <c r="B30" s="21" t="n"/>
      <c r="C30" s="21" t="n"/>
      <c r="D30" s="21" t="n"/>
      <c r="E30" s="21" t="n"/>
      <c r="F30" s="21" t="n"/>
    </row>
    <row r="31">
      <c r="A31" s="10" t="inlineStr">
        <is>
          <t>Όρος 5</t>
        </is>
      </c>
      <c r="B31" s="21" t="n"/>
      <c r="C31" s="21" t="n"/>
      <c r="D31" s="21" t="n"/>
      <c r="E31" s="21" t="n"/>
      <c r="F31" s="21" t="n"/>
    </row>
    <row r="32">
      <c r="A32" s="10" t="inlineStr">
        <is>
          <t>Όρος 6</t>
        </is>
      </c>
      <c r="B32" s="21" t="n"/>
      <c r="C32" s="21" t="n"/>
      <c r="D32" s="21" t="n"/>
      <c r="E32" s="21" t="n"/>
      <c r="F32" s="21" t="n"/>
    </row>
    <row r="33">
      <c r="A33" s="10" t="inlineStr">
        <is>
          <t>Όρος 7</t>
        </is>
      </c>
      <c r="B33" s="21" t="n"/>
      <c r="C33" s="21" t="n"/>
      <c r="D33" s="21" t="n"/>
      <c r="E33" s="21" t="n"/>
      <c r="F33" s="21" t="n"/>
    </row>
    <row r="34">
      <c r="A34" s="10" t="inlineStr">
        <is>
          <t>Όρος 8</t>
        </is>
      </c>
      <c r="B34" s="21" t="n"/>
      <c r="C34" s="21" t="n"/>
      <c r="D34" s="21" t="n"/>
      <c r="E34" s="21" t="n"/>
      <c r="F34" s="21" t="n"/>
    </row>
    <row r="35" ht="48" customHeight="1">
      <c r="A35" s="12" t="inlineStr">
        <is>
          <t>Μπλοκ (συντίθεται αυτόματα)</t>
        </is>
      </c>
      <c r="B35" s="22">
        <f>IF(B292="","","("&amp;B292&amp;")")</f>
        <v/>
      </c>
      <c r="C35" s="22">
        <f>IF(C292="","","("&amp;C292&amp;")")</f>
        <v/>
      </c>
      <c r="D35" s="22">
        <f>IF(D292="","","("&amp;D292&amp;")")</f>
        <v/>
      </c>
      <c r="E35" s="22">
        <f>IF(E292="","","("&amp;E292&amp;")")</f>
        <v/>
      </c>
      <c r="F35" s="22">
        <f>IF(F292="","","("&amp;F292&amp;")")</f>
        <v/>
      </c>
    </row>
    <row r="37">
      <c r="A37" s="10" t="inlineStr">
        <is>
          <t>Από έτος δημοσίευσης (π.χ. 2019)</t>
        </is>
      </c>
      <c r="B37" s="23" t="n">
        <v>2019</v>
      </c>
    </row>
    <row r="38">
      <c r="A38" s="10" t="inlineStr">
        <is>
          <t>Γλώσσα, μόνο Scopus (π.χ. english)</t>
        </is>
      </c>
      <c r="B38" s="23" t="inlineStr">
        <is>
          <t>english</t>
        </is>
      </c>
    </row>
    <row r="40" ht="62" customHeight="1">
      <c r="A40" s="12" t="inlineStr">
        <is>
          <t>Scopus (Advanced search)</t>
        </is>
      </c>
      <c r="B40" s="24">
        <f>IF(F295="","","TITLE-ABS-KEY("&amp;F295&amp;")"&amp;IF(B37="",""," AND PUBYEAR &gt; "&amp;(B37-1))&amp;IF(B38="",""," AND LANGUAGE("&amp;B38&amp;")"))</f>
        <v/>
      </c>
      <c r="C40" s="16" t="n"/>
      <c r="D40" s="16" t="n"/>
      <c r="E40" s="16" t="n"/>
      <c r="F40" s="16" t="n"/>
    </row>
    <row r="41" ht="62" customHeight="1">
      <c r="A41" s="12" t="inlineStr">
        <is>
          <t>ERIC (eric.ed.gov)</t>
        </is>
      </c>
      <c r="B41" s="24">
        <f>IF(F295="","",F295&amp;IF(B37="",""," pubyearmin:"&amp;B37))</f>
        <v/>
      </c>
      <c r="C41" s="16" t="n"/>
      <c r="D41" s="16" t="n"/>
      <c r="E41" s="16" t="n"/>
      <c r="F41" s="16" t="n"/>
    </row>
    <row r="42" ht="62" customHeight="1">
      <c r="A42" s="12" t="inlineStr">
        <is>
          <t>Γενική μορφή (IEEE Xplore, ACM Digital Library)</t>
        </is>
      </c>
      <c r="B42" s="24">
        <f>IF(F295="","",F295)</f>
        <v/>
      </c>
      <c r="C42" s="16" t="n"/>
      <c r="D42" s="16" t="n"/>
      <c r="E42" s="16" t="n"/>
      <c r="F42" s="16" t="n"/>
    </row>
    <row r="43" ht="44" customHeight="1">
      <c r="A43" s="17" t="inlineStr">
        <is>
          <t>Έλεγχοι</t>
        </is>
      </c>
      <c r="B43" s="22">
        <f>IF(F295="","","Αστερίσκοι: "&amp;SUMPRODUCT(LEN(B27:F34)-LEN(SUBSTITUTE(B27:F34,"*","")))&amp;" (το IEEE Xplore δέχεται έως 10 ανά αναζήτηση). "&amp;IF(SUMPRODUCT(--ISNUMBER(FIND("*",B27:F34)),--((ISNUMBER(FIND(" ",TRIM(B27:F34)))+ISNUMBER(FIND("-",B27:F34)))&gt;0))&gt;0,"ΠΡΟΣΟΧΗ: "&amp;SUMPRODUCT(--ISNUMBER(FIND("*",B27:F34)),--((ISNUMBER(FIND(" ",TRIM(B27:F34)))+ISNUMBER(FIND("-",B27:F34)))&gt;0))&amp;" όρος ή όροι έχουν αστερίσκο μέσα σε φράση ή μετά από ενωτικό. Στο ERIC δεν επιστρέφουν αποτελέσματα: γράψτε τις παραλλαγές ολόκληρες.","Κανένας αστερίσκος μέσα σε φράση ή μετά από ενωτικό."))</f>
        <v/>
      </c>
      <c r="C43" s="16" t="n"/>
      <c r="D43" s="16" t="n"/>
      <c r="E43" s="16" t="n"/>
      <c r="F43" s="16" t="n"/>
    </row>
    <row r="46" ht="34" customHeight="1">
      <c r="A46" s="25" t="inlineStr">
        <is>
          <t>Πριν εκτελέσετε: (1) ταιριάζει η συμβολοσειρά με το ερώτημά σας; (2) OR μέσα στο μπλοκ, AND ανάμεσα, παρενθέσεις· (3) ορθογραφία, αστερίσκοι, ευθέα εισαγωγικά· (4) φίλτρα αιτιολογημένα και πλήθος αποτελεσμάτων εύλογο.</t>
        </is>
      </c>
    </row>
    <row r="47" ht="28" customHeight="1">
      <c r="A47" s="26" t="inlineStr">
        <is>
          <t>Οι τέσσερις έλεγχοι είναι προσαρμογή του PRESS 2015 (McGowan et al., 2016, Journal of Clinical Epidemiology, 75, 40–46). Τι καταγράφεται για κάθε αναζήτηση: PRISMA-S (Rethlefsen et al., 2021, Systematic Reviews, 10, 39).</t>
        </is>
      </c>
    </row>
    <row r="212" hidden="1">
      <c r="B212">
        <f>IF(TRIM(B6)="","",IF(OR(LEFT(SUBSTITUTE(SUBSTITUTE(TRIM(B6),"“",""""),"”",""""),1)="""",ISERROR(FIND(" ",SUBSTITUTE(SUBSTITUTE(TRIM(B6),"“",""""),"”","""")))),SUBSTITUTE(SUBSTITUTE(TRIM(B6),"“",""""),"”",""""),""""&amp;SUBSTITUTE(SUBSTITUTE(TRIM(B6),"“",""""),"”","""")&amp;""""))</f>
        <v/>
      </c>
      <c r="C212">
        <f>IF(TRIM(C6)="","",IF(OR(LEFT(SUBSTITUTE(SUBSTITUTE(TRIM(C6),"“",""""),"”",""""),1)="""",ISERROR(FIND(" ",SUBSTITUTE(SUBSTITUTE(TRIM(C6),"“",""""),"”","""")))),SUBSTITUTE(SUBSTITUTE(TRIM(C6),"“",""""),"”",""""),""""&amp;SUBSTITUTE(SUBSTITUTE(TRIM(C6),"“",""""),"”","""")&amp;""""))</f>
        <v/>
      </c>
      <c r="D212">
        <f>IF(TRIM(D6)="","",IF(OR(LEFT(SUBSTITUTE(SUBSTITUTE(TRIM(D6),"“",""""),"”",""""),1)="""",ISERROR(FIND(" ",SUBSTITUTE(SUBSTITUTE(TRIM(D6),"“",""""),"”","""")))),SUBSTITUTE(SUBSTITUTE(TRIM(D6),"“",""""),"”",""""),""""&amp;SUBSTITUTE(SUBSTITUTE(TRIM(D6),"“",""""),"”","""")&amp;""""))</f>
        <v/>
      </c>
      <c r="E212">
        <f>IF(TRIM(E6)="","",IF(OR(LEFT(SUBSTITUTE(SUBSTITUTE(TRIM(E6),"“",""""),"”",""""),1)="""",ISERROR(FIND(" ",SUBSTITUTE(SUBSTITUTE(TRIM(E6),"“",""""),"”","""")))),SUBSTITUTE(SUBSTITUTE(TRIM(E6),"“",""""),"”",""""),""""&amp;SUBSTITUTE(SUBSTITUTE(TRIM(E6),"“",""""),"”","""")&amp;""""))</f>
        <v/>
      </c>
      <c r="F212">
        <f>IF(TRIM(F6)="","",IF(OR(LEFT(SUBSTITUTE(SUBSTITUTE(TRIM(F6),"“",""""),"”",""""),1)="""",ISERROR(FIND(" ",SUBSTITUTE(SUBSTITUTE(TRIM(F6),"“",""""),"”","""")))),SUBSTITUTE(SUBSTITUTE(TRIM(F6),"“",""""),"”",""""),""""&amp;SUBSTITUTE(SUBSTITUTE(TRIM(F6),"“",""""),"”","""")&amp;""""))</f>
        <v/>
      </c>
    </row>
    <row r="213" hidden="1">
      <c r="B213">
        <f>IF(TRIM(B7)="","",IF(OR(LEFT(SUBSTITUTE(SUBSTITUTE(TRIM(B7),"“",""""),"”",""""),1)="""",ISERROR(FIND(" ",SUBSTITUTE(SUBSTITUTE(TRIM(B7),"“",""""),"”","""")))),SUBSTITUTE(SUBSTITUTE(TRIM(B7),"“",""""),"”",""""),""""&amp;SUBSTITUTE(SUBSTITUTE(TRIM(B7),"“",""""),"”","""")&amp;""""))</f>
        <v/>
      </c>
      <c r="C213">
        <f>IF(TRIM(C7)="","",IF(OR(LEFT(SUBSTITUTE(SUBSTITUTE(TRIM(C7),"“",""""),"”",""""),1)="""",ISERROR(FIND(" ",SUBSTITUTE(SUBSTITUTE(TRIM(C7),"“",""""),"”","""")))),SUBSTITUTE(SUBSTITUTE(TRIM(C7),"“",""""),"”",""""),""""&amp;SUBSTITUTE(SUBSTITUTE(TRIM(C7),"“",""""),"”","""")&amp;""""))</f>
        <v/>
      </c>
      <c r="D213">
        <f>IF(TRIM(D7)="","",IF(OR(LEFT(SUBSTITUTE(SUBSTITUTE(TRIM(D7),"“",""""),"”",""""),1)="""",ISERROR(FIND(" ",SUBSTITUTE(SUBSTITUTE(TRIM(D7),"“",""""),"”","""")))),SUBSTITUTE(SUBSTITUTE(TRIM(D7),"“",""""),"”",""""),""""&amp;SUBSTITUTE(SUBSTITUTE(TRIM(D7),"“",""""),"”","""")&amp;""""))</f>
        <v/>
      </c>
      <c r="E213">
        <f>IF(TRIM(E7)="","",IF(OR(LEFT(SUBSTITUTE(SUBSTITUTE(TRIM(E7),"“",""""),"”",""""),1)="""",ISERROR(FIND(" ",SUBSTITUTE(SUBSTITUTE(TRIM(E7),"“",""""),"”","""")))),SUBSTITUTE(SUBSTITUTE(TRIM(E7),"“",""""),"”",""""),""""&amp;SUBSTITUTE(SUBSTITUTE(TRIM(E7),"“",""""),"”","""")&amp;""""))</f>
        <v/>
      </c>
      <c r="F213">
        <f>IF(TRIM(F7)="","",IF(OR(LEFT(SUBSTITUTE(SUBSTITUTE(TRIM(F7),"“",""""),"”",""""),1)="""",ISERROR(FIND(" ",SUBSTITUTE(SUBSTITUTE(TRIM(F7),"“",""""),"”","""")))),SUBSTITUTE(SUBSTITUTE(TRIM(F7),"“",""""),"”",""""),""""&amp;SUBSTITUTE(SUBSTITUTE(TRIM(F7),"“",""""),"”","""")&amp;""""))</f>
        <v/>
      </c>
    </row>
    <row r="214" hidden="1">
      <c r="B214">
        <f>IF(TRIM(B8)="","",IF(OR(LEFT(SUBSTITUTE(SUBSTITUTE(TRIM(B8),"“",""""),"”",""""),1)="""",ISERROR(FIND(" ",SUBSTITUTE(SUBSTITUTE(TRIM(B8),"“",""""),"”","""")))),SUBSTITUTE(SUBSTITUTE(TRIM(B8),"“",""""),"”",""""),""""&amp;SUBSTITUTE(SUBSTITUTE(TRIM(B8),"“",""""),"”","""")&amp;""""))</f>
        <v/>
      </c>
      <c r="C214">
        <f>IF(TRIM(C8)="","",IF(OR(LEFT(SUBSTITUTE(SUBSTITUTE(TRIM(C8),"“",""""),"”",""""),1)="""",ISERROR(FIND(" ",SUBSTITUTE(SUBSTITUTE(TRIM(C8),"“",""""),"”","""")))),SUBSTITUTE(SUBSTITUTE(TRIM(C8),"“",""""),"”",""""),""""&amp;SUBSTITUTE(SUBSTITUTE(TRIM(C8),"“",""""),"”","""")&amp;""""))</f>
        <v/>
      </c>
      <c r="D214">
        <f>IF(TRIM(D8)="","",IF(OR(LEFT(SUBSTITUTE(SUBSTITUTE(TRIM(D8),"“",""""),"”",""""),1)="""",ISERROR(FIND(" ",SUBSTITUTE(SUBSTITUTE(TRIM(D8),"“",""""),"”","""")))),SUBSTITUTE(SUBSTITUTE(TRIM(D8),"“",""""),"”",""""),""""&amp;SUBSTITUTE(SUBSTITUTE(TRIM(D8),"“",""""),"”","""")&amp;""""))</f>
        <v/>
      </c>
      <c r="E214">
        <f>IF(TRIM(E8)="","",IF(OR(LEFT(SUBSTITUTE(SUBSTITUTE(TRIM(E8),"“",""""),"”",""""),1)="""",ISERROR(FIND(" ",SUBSTITUTE(SUBSTITUTE(TRIM(E8),"“",""""),"”","""")))),SUBSTITUTE(SUBSTITUTE(TRIM(E8),"“",""""),"”",""""),""""&amp;SUBSTITUTE(SUBSTITUTE(TRIM(E8),"“",""""),"”","""")&amp;""""))</f>
        <v/>
      </c>
      <c r="F214">
        <f>IF(TRIM(F8)="","",IF(OR(LEFT(SUBSTITUTE(SUBSTITUTE(TRIM(F8),"“",""""),"”",""""),1)="""",ISERROR(FIND(" ",SUBSTITUTE(SUBSTITUTE(TRIM(F8),"“",""""),"”","""")))),SUBSTITUTE(SUBSTITUTE(TRIM(F8),"“",""""),"”",""""),""""&amp;SUBSTITUTE(SUBSTITUTE(TRIM(F8),"“",""""),"”","""")&amp;""""))</f>
        <v/>
      </c>
    </row>
    <row r="215" hidden="1">
      <c r="B215">
        <f>IF(TRIM(B9)="","",IF(OR(LEFT(SUBSTITUTE(SUBSTITUTE(TRIM(B9),"“",""""),"”",""""),1)="""",ISERROR(FIND(" ",SUBSTITUTE(SUBSTITUTE(TRIM(B9),"“",""""),"”","""")))),SUBSTITUTE(SUBSTITUTE(TRIM(B9),"“",""""),"”",""""),""""&amp;SUBSTITUTE(SUBSTITUTE(TRIM(B9),"“",""""),"”","""")&amp;""""))</f>
        <v/>
      </c>
      <c r="C215">
        <f>IF(TRIM(C9)="","",IF(OR(LEFT(SUBSTITUTE(SUBSTITUTE(TRIM(C9),"“",""""),"”",""""),1)="""",ISERROR(FIND(" ",SUBSTITUTE(SUBSTITUTE(TRIM(C9),"“",""""),"”","""")))),SUBSTITUTE(SUBSTITUTE(TRIM(C9),"“",""""),"”",""""),""""&amp;SUBSTITUTE(SUBSTITUTE(TRIM(C9),"“",""""),"”","""")&amp;""""))</f>
        <v/>
      </c>
      <c r="D215">
        <f>IF(TRIM(D9)="","",IF(OR(LEFT(SUBSTITUTE(SUBSTITUTE(TRIM(D9),"“",""""),"”",""""),1)="""",ISERROR(FIND(" ",SUBSTITUTE(SUBSTITUTE(TRIM(D9),"“",""""),"”","""")))),SUBSTITUTE(SUBSTITUTE(TRIM(D9),"“",""""),"”",""""),""""&amp;SUBSTITUTE(SUBSTITUTE(TRIM(D9),"“",""""),"”","""")&amp;""""))</f>
        <v/>
      </c>
      <c r="E215">
        <f>IF(TRIM(E9)="","",IF(OR(LEFT(SUBSTITUTE(SUBSTITUTE(TRIM(E9),"“",""""),"”",""""),1)="""",ISERROR(FIND(" ",SUBSTITUTE(SUBSTITUTE(TRIM(E9),"“",""""),"”","""")))),SUBSTITUTE(SUBSTITUTE(TRIM(E9),"“",""""),"”",""""),""""&amp;SUBSTITUTE(SUBSTITUTE(TRIM(E9),"“",""""),"”","""")&amp;""""))</f>
        <v/>
      </c>
      <c r="F215">
        <f>IF(TRIM(F9)="","",IF(OR(LEFT(SUBSTITUTE(SUBSTITUTE(TRIM(F9),"“",""""),"”",""""),1)="""",ISERROR(FIND(" ",SUBSTITUTE(SUBSTITUTE(TRIM(F9),"“",""""),"”","""")))),SUBSTITUTE(SUBSTITUTE(TRIM(F9),"“",""""),"”",""""),""""&amp;SUBSTITUTE(SUBSTITUTE(TRIM(F9),"“",""""),"”","""")&amp;""""))</f>
        <v/>
      </c>
    </row>
    <row r="216" hidden="1">
      <c r="B216">
        <f>IF(TRIM(B10)="","",IF(OR(LEFT(SUBSTITUTE(SUBSTITUTE(TRIM(B10),"“",""""),"”",""""),1)="""",ISERROR(FIND(" ",SUBSTITUTE(SUBSTITUTE(TRIM(B10),"“",""""),"”","""")))),SUBSTITUTE(SUBSTITUTE(TRIM(B10),"“",""""),"”",""""),""""&amp;SUBSTITUTE(SUBSTITUTE(TRIM(B10),"“",""""),"”","""")&amp;""""))</f>
        <v/>
      </c>
      <c r="C216">
        <f>IF(TRIM(C10)="","",IF(OR(LEFT(SUBSTITUTE(SUBSTITUTE(TRIM(C10),"“",""""),"”",""""),1)="""",ISERROR(FIND(" ",SUBSTITUTE(SUBSTITUTE(TRIM(C10),"“",""""),"”","""")))),SUBSTITUTE(SUBSTITUTE(TRIM(C10),"“",""""),"”",""""),""""&amp;SUBSTITUTE(SUBSTITUTE(TRIM(C10),"“",""""),"”","""")&amp;""""))</f>
        <v/>
      </c>
      <c r="D216">
        <f>IF(TRIM(D10)="","",IF(OR(LEFT(SUBSTITUTE(SUBSTITUTE(TRIM(D10),"“",""""),"”",""""),1)="""",ISERROR(FIND(" ",SUBSTITUTE(SUBSTITUTE(TRIM(D10),"“",""""),"”","""")))),SUBSTITUTE(SUBSTITUTE(TRIM(D10),"“",""""),"”",""""),""""&amp;SUBSTITUTE(SUBSTITUTE(TRIM(D10),"“",""""),"”","""")&amp;""""))</f>
        <v/>
      </c>
      <c r="E216">
        <f>IF(TRIM(E10)="","",IF(OR(LEFT(SUBSTITUTE(SUBSTITUTE(TRIM(E10),"“",""""),"”",""""),1)="""",ISERROR(FIND(" ",SUBSTITUTE(SUBSTITUTE(TRIM(E10),"“",""""),"”","""")))),SUBSTITUTE(SUBSTITUTE(TRIM(E10),"“",""""),"”",""""),""""&amp;SUBSTITUTE(SUBSTITUTE(TRIM(E10),"“",""""),"”","""")&amp;""""))</f>
        <v/>
      </c>
      <c r="F216">
        <f>IF(TRIM(F10)="","",IF(OR(LEFT(SUBSTITUTE(SUBSTITUTE(TRIM(F10),"“",""""),"”",""""),1)="""",ISERROR(FIND(" ",SUBSTITUTE(SUBSTITUTE(TRIM(F10),"“",""""),"”","""")))),SUBSTITUTE(SUBSTITUTE(TRIM(F10),"“",""""),"”",""""),""""&amp;SUBSTITUTE(SUBSTITUTE(TRIM(F10),"“",""""),"”","""")&amp;""""))</f>
        <v/>
      </c>
    </row>
    <row r="217" hidden="1">
      <c r="B217">
        <f>IF(TRIM(B11)="","",IF(OR(LEFT(SUBSTITUTE(SUBSTITUTE(TRIM(B11),"“",""""),"”",""""),1)="""",ISERROR(FIND(" ",SUBSTITUTE(SUBSTITUTE(TRIM(B11),"“",""""),"”","""")))),SUBSTITUTE(SUBSTITUTE(TRIM(B11),"“",""""),"”",""""),""""&amp;SUBSTITUTE(SUBSTITUTE(TRIM(B11),"“",""""),"”","""")&amp;""""))</f>
        <v/>
      </c>
      <c r="C217">
        <f>IF(TRIM(C11)="","",IF(OR(LEFT(SUBSTITUTE(SUBSTITUTE(TRIM(C11),"“",""""),"”",""""),1)="""",ISERROR(FIND(" ",SUBSTITUTE(SUBSTITUTE(TRIM(C11),"“",""""),"”","""")))),SUBSTITUTE(SUBSTITUTE(TRIM(C11),"“",""""),"”",""""),""""&amp;SUBSTITUTE(SUBSTITUTE(TRIM(C11),"“",""""),"”","""")&amp;""""))</f>
        <v/>
      </c>
      <c r="D217">
        <f>IF(TRIM(D11)="","",IF(OR(LEFT(SUBSTITUTE(SUBSTITUTE(TRIM(D11),"“",""""),"”",""""),1)="""",ISERROR(FIND(" ",SUBSTITUTE(SUBSTITUTE(TRIM(D11),"“",""""),"”","""")))),SUBSTITUTE(SUBSTITUTE(TRIM(D11),"“",""""),"”",""""),""""&amp;SUBSTITUTE(SUBSTITUTE(TRIM(D11),"“",""""),"”","""")&amp;""""))</f>
        <v/>
      </c>
      <c r="E217">
        <f>IF(TRIM(E11)="","",IF(OR(LEFT(SUBSTITUTE(SUBSTITUTE(TRIM(E11),"“",""""),"”",""""),1)="""",ISERROR(FIND(" ",SUBSTITUTE(SUBSTITUTE(TRIM(E11),"“",""""),"”","""")))),SUBSTITUTE(SUBSTITUTE(TRIM(E11),"“",""""),"”",""""),""""&amp;SUBSTITUTE(SUBSTITUTE(TRIM(E11),"“",""""),"”","""")&amp;""""))</f>
        <v/>
      </c>
      <c r="F217">
        <f>IF(TRIM(F11)="","",IF(OR(LEFT(SUBSTITUTE(SUBSTITUTE(TRIM(F11),"“",""""),"”",""""),1)="""",ISERROR(FIND(" ",SUBSTITUTE(SUBSTITUTE(TRIM(F11),"“",""""),"”","""")))),SUBSTITUTE(SUBSTITUTE(TRIM(F11),"“",""""),"”",""""),""""&amp;SUBSTITUTE(SUBSTITUTE(TRIM(F11),"“",""""),"”","""")&amp;""""))</f>
        <v/>
      </c>
    </row>
    <row r="218" hidden="1">
      <c r="B218">
        <f>IF(TRIM(B12)="","",IF(OR(LEFT(SUBSTITUTE(SUBSTITUTE(TRIM(B12),"“",""""),"”",""""),1)="""",ISERROR(FIND(" ",SUBSTITUTE(SUBSTITUTE(TRIM(B12),"“",""""),"”","""")))),SUBSTITUTE(SUBSTITUTE(TRIM(B12),"“",""""),"”",""""),""""&amp;SUBSTITUTE(SUBSTITUTE(TRIM(B12),"“",""""),"”","""")&amp;""""))</f>
        <v/>
      </c>
      <c r="C218">
        <f>IF(TRIM(C12)="","",IF(OR(LEFT(SUBSTITUTE(SUBSTITUTE(TRIM(C12),"“",""""),"”",""""),1)="""",ISERROR(FIND(" ",SUBSTITUTE(SUBSTITUTE(TRIM(C12),"“",""""),"”","""")))),SUBSTITUTE(SUBSTITUTE(TRIM(C12),"“",""""),"”",""""),""""&amp;SUBSTITUTE(SUBSTITUTE(TRIM(C12),"“",""""),"”","""")&amp;""""))</f>
        <v/>
      </c>
      <c r="D218">
        <f>IF(TRIM(D12)="","",IF(OR(LEFT(SUBSTITUTE(SUBSTITUTE(TRIM(D12),"“",""""),"”",""""),1)="""",ISERROR(FIND(" ",SUBSTITUTE(SUBSTITUTE(TRIM(D12),"“",""""),"”","""")))),SUBSTITUTE(SUBSTITUTE(TRIM(D12),"“",""""),"”",""""),""""&amp;SUBSTITUTE(SUBSTITUTE(TRIM(D12),"“",""""),"”","""")&amp;""""))</f>
        <v/>
      </c>
      <c r="E218">
        <f>IF(TRIM(E12)="","",IF(OR(LEFT(SUBSTITUTE(SUBSTITUTE(TRIM(E12),"“",""""),"”",""""),1)="""",ISERROR(FIND(" ",SUBSTITUTE(SUBSTITUTE(TRIM(E12),"“",""""),"”","""")))),SUBSTITUTE(SUBSTITUTE(TRIM(E12),"“",""""),"”",""""),""""&amp;SUBSTITUTE(SUBSTITUTE(TRIM(E12),"“",""""),"”","""")&amp;""""))</f>
        <v/>
      </c>
      <c r="F218">
        <f>IF(TRIM(F12)="","",IF(OR(LEFT(SUBSTITUTE(SUBSTITUTE(TRIM(F12),"“",""""),"”",""""),1)="""",ISERROR(FIND(" ",SUBSTITUTE(SUBSTITUTE(TRIM(F12),"“",""""),"”","""")))),SUBSTITUTE(SUBSTITUTE(TRIM(F12),"“",""""),"”",""""),""""&amp;SUBSTITUTE(SUBSTITUTE(TRIM(F12),"“",""""),"”","""")&amp;""""))</f>
        <v/>
      </c>
    </row>
    <row r="219" hidden="1">
      <c r="B219">
        <f>IF(TRIM(B13)="","",IF(OR(LEFT(SUBSTITUTE(SUBSTITUTE(TRIM(B13),"“",""""),"”",""""),1)="""",ISERROR(FIND(" ",SUBSTITUTE(SUBSTITUTE(TRIM(B13),"“",""""),"”","""")))),SUBSTITUTE(SUBSTITUTE(TRIM(B13),"“",""""),"”",""""),""""&amp;SUBSTITUTE(SUBSTITUTE(TRIM(B13),"“",""""),"”","""")&amp;""""))</f>
        <v/>
      </c>
      <c r="C219">
        <f>IF(TRIM(C13)="","",IF(OR(LEFT(SUBSTITUTE(SUBSTITUTE(TRIM(C13),"“",""""),"”",""""),1)="""",ISERROR(FIND(" ",SUBSTITUTE(SUBSTITUTE(TRIM(C13),"“",""""),"”","""")))),SUBSTITUTE(SUBSTITUTE(TRIM(C13),"“",""""),"”",""""),""""&amp;SUBSTITUTE(SUBSTITUTE(TRIM(C13),"“",""""),"”","""")&amp;""""))</f>
        <v/>
      </c>
      <c r="D219">
        <f>IF(TRIM(D13)="","",IF(OR(LEFT(SUBSTITUTE(SUBSTITUTE(TRIM(D13),"“",""""),"”",""""),1)="""",ISERROR(FIND(" ",SUBSTITUTE(SUBSTITUTE(TRIM(D13),"“",""""),"”","""")))),SUBSTITUTE(SUBSTITUTE(TRIM(D13),"“",""""),"”",""""),""""&amp;SUBSTITUTE(SUBSTITUTE(TRIM(D13),"“",""""),"”","""")&amp;""""))</f>
        <v/>
      </c>
      <c r="E219">
        <f>IF(TRIM(E13)="","",IF(OR(LEFT(SUBSTITUTE(SUBSTITUTE(TRIM(E13),"“",""""),"”",""""),1)="""",ISERROR(FIND(" ",SUBSTITUTE(SUBSTITUTE(TRIM(E13),"“",""""),"”","""")))),SUBSTITUTE(SUBSTITUTE(TRIM(E13),"“",""""),"”",""""),""""&amp;SUBSTITUTE(SUBSTITUTE(TRIM(E13),"“",""""),"”","""")&amp;""""))</f>
        <v/>
      </c>
      <c r="F219">
        <f>IF(TRIM(F13)="","",IF(OR(LEFT(SUBSTITUTE(SUBSTITUTE(TRIM(F13),"“",""""),"”",""""),1)="""",ISERROR(FIND(" ",SUBSTITUTE(SUBSTITUTE(TRIM(F13),"“",""""),"”","""")))),SUBSTITUTE(SUBSTITUTE(TRIM(F13),"“",""""),"”",""""),""""&amp;SUBSTITUTE(SUBSTITUTE(TRIM(F13),"“",""""),"”","""")&amp;""""))</f>
        <v/>
      </c>
    </row>
    <row r="222" hidden="1">
      <c r="B222">
        <f>B212</f>
        <v/>
      </c>
      <c r="C222">
        <f>C212</f>
        <v/>
      </c>
      <c r="D222">
        <f>D212</f>
        <v/>
      </c>
      <c r="E222">
        <f>E212</f>
        <v/>
      </c>
      <c r="F222">
        <f>F212</f>
        <v/>
      </c>
    </row>
    <row r="223" hidden="1">
      <c r="B223">
        <f>IF(B213="",B222,IF(B222="",B213,B222&amp;" OR "&amp;B213))</f>
        <v/>
      </c>
      <c r="C223">
        <f>IF(C213="",C222,IF(C222="",C213,C222&amp;" OR "&amp;C213))</f>
        <v/>
      </c>
      <c r="D223">
        <f>IF(D213="",D222,IF(D222="",D213,D222&amp;" OR "&amp;D213))</f>
        <v/>
      </c>
      <c r="E223">
        <f>IF(E213="",E222,IF(E222="",E213,E222&amp;" OR "&amp;E213))</f>
        <v/>
      </c>
      <c r="F223">
        <f>IF(F213="",F222,IF(F222="",F213,F222&amp;" OR "&amp;F213))</f>
        <v/>
      </c>
    </row>
    <row r="224" hidden="1">
      <c r="B224">
        <f>IF(B214="",B223,IF(B223="",B214,B223&amp;" OR "&amp;B214))</f>
        <v/>
      </c>
      <c r="C224">
        <f>IF(C214="",C223,IF(C223="",C214,C223&amp;" OR "&amp;C214))</f>
        <v/>
      </c>
      <c r="D224">
        <f>IF(D214="",D223,IF(D223="",D214,D223&amp;" OR "&amp;D214))</f>
        <v/>
      </c>
      <c r="E224">
        <f>IF(E214="",E223,IF(E223="",E214,E223&amp;" OR "&amp;E214))</f>
        <v/>
      </c>
      <c r="F224">
        <f>IF(F214="",F223,IF(F223="",F214,F223&amp;" OR "&amp;F214))</f>
        <v/>
      </c>
    </row>
    <row r="225" hidden="1">
      <c r="B225">
        <f>IF(B215="",B224,IF(B224="",B215,B224&amp;" OR "&amp;B215))</f>
        <v/>
      </c>
      <c r="C225">
        <f>IF(C215="",C224,IF(C224="",C215,C224&amp;" OR "&amp;C215))</f>
        <v/>
      </c>
      <c r="D225">
        <f>IF(D215="",D224,IF(D224="",D215,D224&amp;" OR "&amp;D215))</f>
        <v/>
      </c>
      <c r="E225">
        <f>IF(E215="",E224,IF(E224="",E215,E224&amp;" OR "&amp;E215))</f>
        <v/>
      </c>
      <c r="F225">
        <f>IF(F215="",F224,IF(F224="",F215,F224&amp;" OR "&amp;F215))</f>
        <v/>
      </c>
    </row>
    <row r="226" hidden="1">
      <c r="B226">
        <f>IF(B216="",B225,IF(B225="",B216,B225&amp;" OR "&amp;B216))</f>
        <v/>
      </c>
      <c r="C226">
        <f>IF(C216="",C225,IF(C225="",C216,C225&amp;" OR "&amp;C216))</f>
        <v/>
      </c>
      <c r="D226">
        <f>IF(D216="",D225,IF(D225="",D216,D225&amp;" OR "&amp;D216))</f>
        <v/>
      </c>
      <c r="E226">
        <f>IF(E216="",E225,IF(E225="",E216,E225&amp;" OR "&amp;E216))</f>
        <v/>
      </c>
      <c r="F226">
        <f>IF(F216="",F225,IF(F225="",F216,F225&amp;" OR "&amp;F216))</f>
        <v/>
      </c>
    </row>
    <row r="227" hidden="1">
      <c r="B227">
        <f>IF(B217="",B226,IF(B226="",B217,B226&amp;" OR "&amp;B217))</f>
        <v/>
      </c>
      <c r="C227">
        <f>IF(C217="",C226,IF(C226="",C217,C226&amp;" OR "&amp;C217))</f>
        <v/>
      </c>
      <c r="D227">
        <f>IF(D217="",D226,IF(D226="",D217,D226&amp;" OR "&amp;D217))</f>
        <v/>
      </c>
      <c r="E227">
        <f>IF(E217="",E226,IF(E226="",E217,E226&amp;" OR "&amp;E217))</f>
        <v/>
      </c>
      <c r="F227">
        <f>IF(F217="",F226,IF(F226="",F217,F226&amp;" OR "&amp;F217))</f>
        <v/>
      </c>
    </row>
    <row r="228" hidden="1">
      <c r="B228">
        <f>IF(B218="",B227,IF(B227="",B218,B227&amp;" OR "&amp;B218))</f>
        <v/>
      </c>
      <c r="C228">
        <f>IF(C218="",C227,IF(C227="",C218,C227&amp;" OR "&amp;C218))</f>
        <v/>
      </c>
      <c r="D228">
        <f>IF(D218="",D227,IF(D227="",D218,D227&amp;" OR "&amp;D218))</f>
        <v/>
      </c>
      <c r="E228">
        <f>IF(E218="",E227,IF(E227="",E218,E227&amp;" OR "&amp;E218))</f>
        <v/>
      </c>
      <c r="F228">
        <f>IF(F218="",F227,IF(F227="",F218,F227&amp;" OR "&amp;F218))</f>
        <v/>
      </c>
    </row>
    <row r="229" hidden="1">
      <c r="B229">
        <f>IF(B219="",B228,IF(B228="",B219,B228&amp;" OR "&amp;B219))</f>
        <v/>
      </c>
      <c r="C229">
        <f>IF(C219="",C228,IF(C228="",C219,C228&amp;" OR "&amp;C219))</f>
        <v/>
      </c>
      <c r="D229">
        <f>IF(D219="",D228,IF(D228="",D219,D228&amp;" OR "&amp;D219))</f>
        <v/>
      </c>
      <c r="E229">
        <f>IF(E219="",E228,IF(E228="",E219,E228&amp;" OR "&amp;E219))</f>
        <v/>
      </c>
      <c r="F229">
        <f>IF(F219="",F228,IF(F228="",F219,F228&amp;" OR "&amp;F219))</f>
        <v/>
      </c>
    </row>
    <row r="232" hidden="1">
      <c r="B232">
        <f>B14</f>
        <v/>
      </c>
      <c r="C232">
        <f>IF(C14="",B232,IF(B232="",C14,B232&amp;" AND "&amp;C14))</f>
        <v/>
      </c>
      <c r="D232">
        <f>IF(D14="",C232,IF(C232="",D14,C232&amp;" AND "&amp;D14))</f>
        <v/>
      </c>
      <c r="E232">
        <f>IF(E14="",D232,IF(D232="",E14,D232&amp;" AND "&amp;E14))</f>
        <v/>
      </c>
      <c r="F232">
        <f>IF(F14="",E232,IF(E232="",F14,E232&amp;" AND "&amp;F14))</f>
        <v/>
      </c>
    </row>
    <row r="275" hidden="1">
      <c r="B275">
        <f>IF(TRIM(B27)="","",IF(OR(LEFT(SUBSTITUTE(SUBSTITUTE(TRIM(B27),"“",""""),"”",""""),1)="""",ISERROR(FIND(" ",SUBSTITUTE(SUBSTITUTE(TRIM(B27),"“",""""),"”","""")))),SUBSTITUTE(SUBSTITUTE(TRIM(B27),"“",""""),"”",""""),""""&amp;SUBSTITUTE(SUBSTITUTE(TRIM(B27),"“",""""),"”","""")&amp;""""))</f>
        <v/>
      </c>
      <c r="C275">
        <f>IF(TRIM(C27)="","",IF(OR(LEFT(SUBSTITUTE(SUBSTITUTE(TRIM(C27),"“",""""),"”",""""),1)="""",ISERROR(FIND(" ",SUBSTITUTE(SUBSTITUTE(TRIM(C27),"“",""""),"”","""")))),SUBSTITUTE(SUBSTITUTE(TRIM(C27),"“",""""),"”",""""),""""&amp;SUBSTITUTE(SUBSTITUTE(TRIM(C27),"“",""""),"”","""")&amp;""""))</f>
        <v/>
      </c>
      <c r="D275">
        <f>IF(TRIM(D27)="","",IF(OR(LEFT(SUBSTITUTE(SUBSTITUTE(TRIM(D27),"“",""""),"”",""""),1)="""",ISERROR(FIND(" ",SUBSTITUTE(SUBSTITUTE(TRIM(D27),"“",""""),"”","""")))),SUBSTITUTE(SUBSTITUTE(TRIM(D27),"“",""""),"”",""""),""""&amp;SUBSTITUTE(SUBSTITUTE(TRIM(D27),"“",""""),"”","""")&amp;""""))</f>
        <v/>
      </c>
      <c r="E275">
        <f>IF(TRIM(E27)="","",IF(OR(LEFT(SUBSTITUTE(SUBSTITUTE(TRIM(E27),"“",""""),"”",""""),1)="""",ISERROR(FIND(" ",SUBSTITUTE(SUBSTITUTE(TRIM(E27),"“",""""),"”","""")))),SUBSTITUTE(SUBSTITUTE(TRIM(E27),"“",""""),"”",""""),""""&amp;SUBSTITUTE(SUBSTITUTE(TRIM(E27),"“",""""),"”","""")&amp;""""))</f>
        <v/>
      </c>
      <c r="F275">
        <f>IF(TRIM(F27)="","",IF(OR(LEFT(SUBSTITUTE(SUBSTITUTE(TRIM(F27),"“",""""),"”",""""),1)="""",ISERROR(FIND(" ",SUBSTITUTE(SUBSTITUTE(TRIM(F27),"“",""""),"”","""")))),SUBSTITUTE(SUBSTITUTE(TRIM(F27),"“",""""),"”",""""),""""&amp;SUBSTITUTE(SUBSTITUTE(TRIM(F27),"“",""""),"”","""")&amp;""""))</f>
        <v/>
      </c>
    </row>
    <row r="276" hidden="1">
      <c r="B276">
        <f>IF(TRIM(B28)="","",IF(OR(LEFT(SUBSTITUTE(SUBSTITUTE(TRIM(B28),"“",""""),"”",""""),1)="""",ISERROR(FIND(" ",SUBSTITUTE(SUBSTITUTE(TRIM(B28),"“",""""),"”","""")))),SUBSTITUTE(SUBSTITUTE(TRIM(B28),"“",""""),"”",""""),""""&amp;SUBSTITUTE(SUBSTITUTE(TRIM(B28),"“",""""),"”","""")&amp;""""))</f>
        <v/>
      </c>
      <c r="C276">
        <f>IF(TRIM(C28)="","",IF(OR(LEFT(SUBSTITUTE(SUBSTITUTE(TRIM(C28),"“",""""),"”",""""),1)="""",ISERROR(FIND(" ",SUBSTITUTE(SUBSTITUTE(TRIM(C28),"“",""""),"”","""")))),SUBSTITUTE(SUBSTITUTE(TRIM(C28),"“",""""),"”",""""),""""&amp;SUBSTITUTE(SUBSTITUTE(TRIM(C28),"“",""""),"”","""")&amp;""""))</f>
        <v/>
      </c>
      <c r="D276">
        <f>IF(TRIM(D28)="","",IF(OR(LEFT(SUBSTITUTE(SUBSTITUTE(TRIM(D28),"“",""""),"”",""""),1)="""",ISERROR(FIND(" ",SUBSTITUTE(SUBSTITUTE(TRIM(D28),"“",""""),"”","""")))),SUBSTITUTE(SUBSTITUTE(TRIM(D28),"“",""""),"”",""""),""""&amp;SUBSTITUTE(SUBSTITUTE(TRIM(D28),"“",""""),"”","""")&amp;""""))</f>
        <v/>
      </c>
      <c r="E276">
        <f>IF(TRIM(E28)="","",IF(OR(LEFT(SUBSTITUTE(SUBSTITUTE(TRIM(E28),"“",""""),"”",""""),1)="""",ISERROR(FIND(" ",SUBSTITUTE(SUBSTITUTE(TRIM(E28),"“",""""),"”","""")))),SUBSTITUTE(SUBSTITUTE(TRIM(E28),"“",""""),"”",""""),""""&amp;SUBSTITUTE(SUBSTITUTE(TRIM(E28),"“",""""),"”","""")&amp;""""))</f>
        <v/>
      </c>
      <c r="F276">
        <f>IF(TRIM(F28)="","",IF(OR(LEFT(SUBSTITUTE(SUBSTITUTE(TRIM(F28),"“",""""),"”",""""),1)="""",ISERROR(FIND(" ",SUBSTITUTE(SUBSTITUTE(TRIM(F28),"“",""""),"”","""")))),SUBSTITUTE(SUBSTITUTE(TRIM(F28),"“",""""),"”",""""),""""&amp;SUBSTITUTE(SUBSTITUTE(TRIM(F28),"“",""""),"”","""")&amp;""""))</f>
        <v/>
      </c>
    </row>
    <row r="277" hidden="1">
      <c r="B277">
        <f>IF(TRIM(B29)="","",IF(OR(LEFT(SUBSTITUTE(SUBSTITUTE(TRIM(B29),"“",""""),"”",""""),1)="""",ISERROR(FIND(" ",SUBSTITUTE(SUBSTITUTE(TRIM(B29),"“",""""),"”","""")))),SUBSTITUTE(SUBSTITUTE(TRIM(B29),"“",""""),"”",""""),""""&amp;SUBSTITUTE(SUBSTITUTE(TRIM(B29),"“",""""),"”","""")&amp;""""))</f>
        <v/>
      </c>
      <c r="C277">
        <f>IF(TRIM(C29)="","",IF(OR(LEFT(SUBSTITUTE(SUBSTITUTE(TRIM(C29),"“",""""),"”",""""),1)="""",ISERROR(FIND(" ",SUBSTITUTE(SUBSTITUTE(TRIM(C29),"“",""""),"”","""")))),SUBSTITUTE(SUBSTITUTE(TRIM(C29),"“",""""),"”",""""),""""&amp;SUBSTITUTE(SUBSTITUTE(TRIM(C29),"“",""""),"”","""")&amp;""""))</f>
        <v/>
      </c>
      <c r="D277">
        <f>IF(TRIM(D29)="","",IF(OR(LEFT(SUBSTITUTE(SUBSTITUTE(TRIM(D29),"“",""""),"”",""""),1)="""",ISERROR(FIND(" ",SUBSTITUTE(SUBSTITUTE(TRIM(D29),"“",""""),"”","""")))),SUBSTITUTE(SUBSTITUTE(TRIM(D29),"“",""""),"”",""""),""""&amp;SUBSTITUTE(SUBSTITUTE(TRIM(D29),"“",""""),"”","""")&amp;""""))</f>
        <v/>
      </c>
      <c r="E277">
        <f>IF(TRIM(E29)="","",IF(OR(LEFT(SUBSTITUTE(SUBSTITUTE(TRIM(E29),"“",""""),"”",""""),1)="""",ISERROR(FIND(" ",SUBSTITUTE(SUBSTITUTE(TRIM(E29),"“",""""),"”","""")))),SUBSTITUTE(SUBSTITUTE(TRIM(E29),"“",""""),"”",""""),""""&amp;SUBSTITUTE(SUBSTITUTE(TRIM(E29),"“",""""),"”","""")&amp;""""))</f>
        <v/>
      </c>
      <c r="F277">
        <f>IF(TRIM(F29)="","",IF(OR(LEFT(SUBSTITUTE(SUBSTITUTE(TRIM(F29),"“",""""),"”",""""),1)="""",ISERROR(FIND(" ",SUBSTITUTE(SUBSTITUTE(TRIM(F29),"“",""""),"”","""")))),SUBSTITUTE(SUBSTITUTE(TRIM(F29),"“",""""),"”",""""),""""&amp;SUBSTITUTE(SUBSTITUTE(TRIM(F29),"“",""""),"”","""")&amp;""""))</f>
        <v/>
      </c>
    </row>
    <row r="278" hidden="1">
      <c r="B278">
        <f>IF(TRIM(B30)="","",IF(OR(LEFT(SUBSTITUTE(SUBSTITUTE(TRIM(B30),"“",""""),"”",""""),1)="""",ISERROR(FIND(" ",SUBSTITUTE(SUBSTITUTE(TRIM(B30),"“",""""),"”","""")))),SUBSTITUTE(SUBSTITUTE(TRIM(B30),"“",""""),"”",""""),""""&amp;SUBSTITUTE(SUBSTITUTE(TRIM(B30),"“",""""),"”","""")&amp;""""))</f>
        <v/>
      </c>
      <c r="C278">
        <f>IF(TRIM(C30)="","",IF(OR(LEFT(SUBSTITUTE(SUBSTITUTE(TRIM(C30),"“",""""),"”",""""),1)="""",ISERROR(FIND(" ",SUBSTITUTE(SUBSTITUTE(TRIM(C30),"“",""""),"”","""")))),SUBSTITUTE(SUBSTITUTE(TRIM(C30),"“",""""),"”",""""),""""&amp;SUBSTITUTE(SUBSTITUTE(TRIM(C30),"“",""""),"”","""")&amp;""""))</f>
        <v/>
      </c>
      <c r="D278">
        <f>IF(TRIM(D30)="","",IF(OR(LEFT(SUBSTITUTE(SUBSTITUTE(TRIM(D30),"“",""""),"”",""""),1)="""",ISERROR(FIND(" ",SUBSTITUTE(SUBSTITUTE(TRIM(D30),"“",""""),"”","""")))),SUBSTITUTE(SUBSTITUTE(TRIM(D30),"“",""""),"”",""""),""""&amp;SUBSTITUTE(SUBSTITUTE(TRIM(D30),"“",""""),"”","""")&amp;""""))</f>
        <v/>
      </c>
      <c r="E278">
        <f>IF(TRIM(E30)="","",IF(OR(LEFT(SUBSTITUTE(SUBSTITUTE(TRIM(E30),"“",""""),"”",""""),1)="""",ISERROR(FIND(" ",SUBSTITUTE(SUBSTITUTE(TRIM(E30),"“",""""),"”","""")))),SUBSTITUTE(SUBSTITUTE(TRIM(E30),"“",""""),"”",""""),""""&amp;SUBSTITUTE(SUBSTITUTE(TRIM(E30),"“",""""),"”","""")&amp;""""))</f>
        <v/>
      </c>
      <c r="F278">
        <f>IF(TRIM(F30)="","",IF(OR(LEFT(SUBSTITUTE(SUBSTITUTE(TRIM(F30),"“",""""),"”",""""),1)="""",ISERROR(FIND(" ",SUBSTITUTE(SUBSTITUTE(TRIM(F30),"“",""""),"”","""")))),SUBSTITUTE(SUBSTITUTE(TRIM(F30),"“",""""),"”",""""),""""&amp;SUBSTITUTE(SUBSTITUTE(TRIM(F30),"“",""""),"”","""")&amp;""""))</f>
        <v/>
      </c>
    </row>
    <row r="279" hidden="1">
      <c r="B279">
        <f>IF(TRIM(B31)="","",IF(OR(LEFT(SUBSTITUTE(SUBSTITUTE(TRIM(B31),"“",""""),"”",""""),1)="""",ISERROR(FIND(" ",SUBSTITUTE(SUBSTITUTE(TRIM(B31),"“",""""),"”","""")))),SUBSTITUTE(SUBSTITUTE(TRIM(B31),"“",""""),"”",""""),""""&amp;SUBSTITUTE(SUBSTITUTE(TRIM(B31),"“",""""),"”","""")&amp;""""))</f>
        <v/>
      </c>
      <c r="C279">
        <f>IF(TRIM(C31)="","",IF(OR(LEFT(SUBSTITUTE(SUBSTITUTE(TRIM(C31),"“",""""),"”",""""),1)="""",ISERROR(FIND(" ",SUBSTITUTE(SUBSTITUTE(TRIM(C31),"“",""""),"”","""")))),SUBSTITUTE(SUBSTITUTE(TRIM(C31),"“",""""),"”",""""),""""&amp;SUBSTITUTE(SUBSTITUTE(TRIM(C31),"“",""""),"”","""")&amp;""""))</f>
        <v/>
      </c>
      <c r="D279">
        <f>IF(TRIM(D31)="","",IF(OR(LEFT(SUBSTITUTE(SUBSTITUTE(TRIM(D31),"“",""""),"”",""""),1)="""",ISERROR(FIND(" ",SUBSTITUTE(SUBSTITUTE(TRIM(D31),"“",""""),"”","""")))),SUBSTITUTE(SUBSTITUTE(TRIM(D31),"“",""""),"”",""""),""""&amp;SUBSTITUTE(SUBSTITUTE(TRIM(D31),"“",""""),"”","""")&amp;""""))</f>
        <v/>
      </c>
      <c r="E279">
        <f>IF(TRIM(E31)="","",IF(OR(LEFT(SUBSTITUTE(SUBSTITUTE(TRIM(E31),"“",""""),"”",""""),1)="""",ISERROR(FIND(" ",SUBSTITUTE(SUBSTITUTE(TRIM(E31),"“",""""),"”","""")))),SUBSTITUTE(SUBSTITUTE(TRIM(E31),"“",""""),"”",""""),""""&amp;SUBSTITUTE(SUBSTITUTE(TRIM(E31),"“",""""),"”","""")&amp;""""))</f>
        <v/>
      </c>
      <c r="F279">
        <f>IF(TRIM(F31)="","",IF(OR(LEFT(SUBSTITUTE(SUBSTITUTE(TRIM(F31),"“",""""),"”",""""),1)="""",ISERROR(FIND(" ",SUBSTITUTE(SUBSTITUTE(TRIM(F31),"“",""""),"”","""")))),SUBSTITUTE(SUBSTITUTE(TRIM(F31),"“",""""),"”",""""),""""&amp;SUBSTITUTE(SUBSTITUTE(TRIM(F31),"“",""""),"”","""")&amp;""""))</f>
        <v/>
      </c>
    </row>
    <row r="280" hidden="1">
      <c r="B280">
        <f>IF(TRIM(B32)="","",IF(OR(LEFT(SUBSTITUTE(SUBSTITUTE(TRIM(B32),"“",""""),"”",""""),1)="""",ISERROR(FIND(" ",SUBSTITUTE(SUBSTITUTE(TRIM(B32),"“",""""),"”","""")))),SUBSTITUTE(SUBSTITUTE(TRIM(B32),"“",""""),"”",""""),""""&amp;SUBSTITUTE(SUBSTITUTE(TRIM(B32),"“",""""),"”","""")&amp;""""))</f>
        <v/>
      </c>
      <c r="C280">
        <f>IF(TRIM(C32)="","",IF(OR(LEFT(SUBSTITUTE(SUBSTITUTE(TRIM(C32),"“",""""),"”",""""),1)="""",ISERROR(FIND(" ",SUBSTITUTE(SUBSTITUTE(TRIM(C32),"“",""""),"”","""")))),SUBSTITUTE(SUBSTITUTE(TRIM(C32),"“",""""),"”",""""),""""&amp;SUBSTITUTE(SUBSTITUTE(TRIM(C32),"“",""""),"”","""")&amp;""""))</f>
        <v/>
      </c>
      <c r="D280">
        <f>IF(TRIM(D32)="","",IF(OR(LEFT(SUBSTITUTE(SUBSTITUTE(TRIM(D32),"“",""""),"”",""""),1)="""",ISERROR(FIND(" ",SUBSTITUTE(SUBSTITUTE(TRIM(D32),"“",""""),"”","""")))),SUBSTITUTE(SUBSTITUTE(TRIM(D32),"“",""""),"”",""""),""""&amp;SUBSTITUTE(SUBSTITUTE(TRIM(D32),"“",""""),"”","""")&amp;""""))</f>
        <v/>
      </c>
      <c r="E280">
        <f>IF(TRIM(E32)="","",IF(OR(LEFT(SUBSTITUTE(SUBSTITUTE(TRIM(E32),"“",""""),"”",""""),1)="""",ISERROR(FIND(" ",SUBSTITUTE(SUBSTITUTE(TRIM(E32),"“",""""),"”","""")))),SUBSTITUTE(SUBSTITUTE(TRIM(E32),"“",""""),"”",""""),""""&amp;SUBSTITUTE(SUBSTITUTE(TRIM(E32),"“",""""),"”","""")&amp;""""))</f>
        <v/>
      </c>
      <c r="F280">
        <f>IF(TRIM(F32)="","",IF(OR(LEFT(SUBSTITUTE(SUBSTITUTE(TRIM(F32),"“",""""),"”",""""),1)="""",ISERROR(FIND(" ",SUBSTITUTE(SUBSTITUTE(TRIM(F32),"“",""""),"”","""")))),SUBSTITUTE(SUBSTITUTE(TRIM(F32),"“",""""),"”",""""),""""&amp;SUBSTITUTE(SUBSTITUTE(TRIM(F32),"“",""""),"”","""")&amp;""""))</f>
        <v/>
      </c>
    </row>
    <row r="281" hidden="1">
      <c r="B281">
        <f>IF(TRIM(B33)="","",IF(OR(LEFT(SUBSTITUTE(SUBSTITUTE(TRIM(B33),"“",""""),"”",""""),1)="""",ISERROR(FIND(" ",SUBSTITUTE(SUBSTITUTE(TRIM(B33),"“",""""),"”","""")))),SUBSTITUTE(SUBSTITUTE(TRIM(B33),"“",""""),"”",""""),""""&amp;SUBSTITUTE(SUBSTITUTE(TRIM(B33),"“",""""),"”","""")&amp;""""))</f>
        <v/>
      </c>
      <c r="C281">
        <f>IF(TRIM(C33)="","",IF(OR(LEFT(SUBSTITUTE(SUBSTITUTE(TRIM(C33),"“",""""),"”",""""),1)="""",ISERROR(FIND(" ",SUBSTITUTE(SUBSTITUTE(TRIM(C33),"“",""""),"”","""")))),SUBSTITUTE(SUBSTITUTE(TRIM(C33),"“",""""),"”",""""),""""&amp;SUBSTITUTE(SUBSTITUTE(TRIM(C33),"“",""""),"”","""")&amp;""""))</f>
        <v/>
      </c>
      <c r="D281">
        <f>IF(TRIM(D33)="","",IF(OR(LEFT(SUBSTITUTE(SUBSTITUTE(TRIM(D33),"“",""""),"”",""""),1)="""",ISERROR(FIND(" ",SUBSTITUTE(SUBSTITUTE(TRIM(D33),"“",""""),"”","""")))),SUBSTITUTE(SUBSTITUTE(TRIM(D33),"“",""""),"”",""""),""""&amp;SUBSTITUTE(SUBSTITUTE(TRIM(D33),"“",""""),"”","""")&amp;""""))</f>
        <v/>
      </c>
      <c r="E281">
        <f>IF(TRIM(E33)="","",IF(OR(LEFT(SUBSTITUTE(SUBSTITUTE(TRIM(E33),"“",""""),"”",""""),1)="""",ISERROR(FIND(" ",SUBSTITUTE(SUBSTITUTE(TRIM(E33),"“",""""),"”","""")))),SUBSTITUTE(SUBSTITUTE(TRIM(E33),"“",""""),"”",""""),""""&amp;SUBSTITUTE(SUBSTITUTE(TRIM(E33),"“",""""),"”","""")&amp;""""))</f>
        <v/>
      </c>
      <c r="F281">
        <f>IF(TRIM(F33)="","",IF(OR(LEFT(SUBSTITUTE(SUBSTITUTE(TRIM(F33),"“",""""),"”",""""),1)="""",ISERROR(FIND(" ",SUBSTITUTE(SUBSTITUTE(TRIM(F33),"“",""""),"”","""")))),SUBSTITUTE(SUBSTITUTE(TRIM(F33),"“",""""),"”",""""),""""&amp;SUBSTITUTE(SUBSTITUTE(TRIM(F33),"“",""""),"”","""")&amp;""""))</f>
        <v/>
      </c>
    </row>
    <row r="282" hidden="1">
      <c r="B282">
        <f>IF(TRIM(B34)="","",IF(OR(LEFT(SUBSTITUTE(SUBSTITUTE(TRIM(B34),"“",""""),"”",""""),1)="""",ISERROR(FIND(" ",SUBSTITUTE(SUBSTITUTE(TRIM(B34),"“",""""),"”","""")))),SUBSTITUTE(SUBSTITUTE(TRIM(B34),"“",""""),"”",""""),""""&amp;SUBSTITUTE(SUBSTITUTE(TRIM(B34),"“",""""),"”","""")&amp;""""))</f>
        <v/>
      </c>
      <c r="C282">
        <f>IF(TRIM(C34)="","",IF(OR(LEFT(SUBSTITUTE(SUBSTITUTE(TRIM(C34),"“",""""),"”",""""),1)="""",ISERROR(FIND(" ",SUBSTITUTE(SUBSTITUTE(TRIM(C34),"“",""""),"”","""")))),SUBSTITUTE(SUBSTITUTE(TRIM(C34),"“",""""),"”",""""),""""&amp;SUBSTITUTE(SUBSTITUTE(TRIM(C34),"“",""""),"”","""")&amp;""""))</f>
        <v/>
      </c>
      <c r="D282">
        <f>IF(TRIM(D34)="","",IF(OR(LEFT(SUBSTITUTE(SUBSTITUTE(TRIM(D34),"“",""""),"”",""""),1)="""",ISERROR(FIND(" ",SUBSTITUTE(SUBSTITUTE(TRIM(D34),"“",""""),"”","""")))),SUBSTITUTE(SUBSTITUTE(TRIM(D34),"“",""""),"”",""""),""""&amp;SUBSTITUTE(SUBSTITUTE(TRIM(D34),"“",""""),"”","""")&amp;""""))</f>
        <v/>
      </c>
      <c r="E282">
        <f>IF(TRIM(E34)="","",IF(OR(LEFT(SUBSTITUTE(SUBSTITUTE(TRIM(E34),"“",""""),"”",""""),1)="""",ISERROR(FIND(" ",SUBSTITUTE(SUBSTITUTE(TRIM(E34),"“",""""),"”","""")))),SUBSTITUTE(SUBSTITUTE(TRIM(E34),"“",""""),"”",""""),""""&amp;SUBSTITUTE(SUBSTITUTE(TRIM(E34),"“",""""),"”","""")&amp;""""))</f>
        <v/>
      </c>
      <c r="F282">
        <f>IF(TRIM(F34)="","",IF(OR(LEFT(SUBSTITUTE(SUBSTITUTE(TRIM(F34),"“",""""),"”",""""),1)="""",ISERROR(FIND(" ",SUBSTITUTE(SUBSTITUTE(TRIM(F34),"“",""""),"”","""")))),SUBSTITUTE(SUBSTITUTE(TRIM(F34),"“",""""),"”",""""),""""&amp;SUBSTITUTE(SUBSTITUTE(TRIM(F34),"“",""""),"”","""")&amp;""""))</f>
        <v/>
      </c>
    </row>
    <row r="285" hidden="1">
      <c r="B285">
        <f>B275</f>
        <v/>
      </c>
      <c r="C285">
        <f>C275</f>
        <v/>
      </c>
      <c r="D285">
        <f>D275</f>
        <v/>
      </c>
      <c r="E285">
        <f>E275</f>
        <v/>
      </c>
      <c r="F285">
        <f>F275</f>
        <v/>
      </c>
    </row>
    <row r="286" hidden="1">
      <c r="B286">
        <f>IF(B276="",B285,IF(B285="",B276,B285&amp;" OR "&amp;B276))</f>
        <v/>
      </c>
      <c r="C286">
        <f>IF(C276="",C285,IF(C285="",C276,C285&amp;" OR "&amp;C276))</f>
        <v/>
      </c>
      <c r="D286">
        <f>IF(D276="",D285,IF(D285="",D276,D285&amp;" OR "&amp;D276))</f>
        <v/>
      </c>
      <c r="E286">
        <f>IF(E276="",E285,IF(E285="",E276,E285&amp;" OR "&amp;E276))</f>
        <v/>
      </c>
      <c r="F286">
        <f>IF(F276="",F285,IF(F285="",F276,F285&amp;" OR "&amp;F276))</f>
        <v/>
      </c>
    </row>
    <row r="287" hidden="1">
      <c r="B287">
        <f>IF(B277="",B286,IF(B286="",B277,B286&amp;" OR "&amp;B277))</f>
        <v/>
      </c>
      <c r="C287">
        <f>IF(C277="",C286,IF(C286="",C277,C286&amp;" OR "&amp;C277))</f>
        <v/>
      </c>
      <c r="D287">
        <f>IF(D277="",D286,IF(D286="",D277,D286&amp;" OR "&amp;D277))</f>
        <v/>
      </c>
      <c r="E287">
        <f>IF(E277="",E286,IF(E286="",E277,E286&amp;" OR "&amp;E277))</f>
        <v/>
      </c>
      <c r="F287">
        <f>IF(F277="",F286,IF(F286="",F277,F286&amp;" OR "&amp;F277))</f>
        <v/>
      </c>
    </row>
    <row r="288" hidden="1">
      <c r="B288">
        <f>IF(B278="",B287,IF(B287="",B278,B287&amp;" OR "&amp;B278))</f>
        <v/>
      </c>
      <c r="C288">
        <f>IF(C278="",C287,IF(C287="",C278,C287&amp;" OR "&amp;C278))</f>
        <v/>
      </c>
      <c r="D288">
        <f>IF(D278="",D287,IF(D287="",D278,D287&amp;" OR "&amp;D278))</f>
        <v/>
      </c>
      <c r="E288">
        <f>IF(E278="",E287,IF(E287="",E278,E287&amp;" OR "&amp;E278))</f>
        <v/>
      </c>
      <c r="F288">
        <f>IF(F278="",F287,IF(F287="",F278,F287&amp;" OR "&amp;F278))</f>
        <v/>
      </c>
    </row>
    <row r="289" hidden="1">
      <c r="B289">
        <f>IF(B279="",B288,IF(B288="",B279,B288&amp;" OR "&amp;B279))</f>
        <v/>
      </c>
      <c r="C289">
        <f>IF(C279="",C288,IF(C288="",C279,C288&amp;" OR "&amp;C279))</f>
        <v/>
      </c>
      <c r="D289">
        <f>IF(D279="",D288,IF(D288="",D279,D288&amp;" OR "&amp;D279))</f>
        <v/>
      </c>
      <c r="E289">
        <f>IF(E279="",E288,IF(E288="",E279,E288&amp;" OR "&amp;E279))</f>
        <v/>
      </c>
      <c r="F289">
        <f>IF(F279="",F288,IF(F288="",F279,F288&amp;" OR "&amp;F279))</f>
        <v/>
      </c>
    </row>
    <row r="290" hidden="1">
      <c r="B290">
        <f>IF(B280="",B289,IF(B289="",B280,B289&amp;" OR "&amp;B280))</f>
        <v/>
      </c>
      <c r="C290">
        <f>IF(C280="",C289,IF(C289="",C280,C289&amp;" OR "&amp;C280))</f>
        <v/>
      </c>
      <c r="D290">
        <f>IF(D280="",D289,IF(D289="",D280,D289&amp;" OR "&amp;D280))</f>
        <v/>
      </c>
      <c r="E290">
        <f>IF(E280="",E289,IF(E289="",E280,E289&amp;" OR "&amp;E280))</f>
        <v/>
      </c>
      <c r="F290">
        <f>IF(F280="",F289,IF(F289="",F280,F289&amp;" OR "&amp;F280))</f>
        <v/>
      </c>
    </row>
    <row r="291" hidden="1">
      <c r="B291">
        <f>IF(B281="",B290,IF(B290="",B281,B290&amp;" OR "&amp;B281))</f>
        <v/>
      </c>
      <c r="C291">
        <f>IF(C281="",C290,IF(C290="",C281,C290&amp;" OR "&amp;C281))</f>
        <v/>
      </c>
      <c r="D291">
        <f>IF(D281="",D290,IF(D290="",D281,D290&amp;" OR "&amp;D281))</f>
        <v/>
      </c>
      <c r="E291">
        <f>IF(E281="",E290,IF(E290="",E281,E290&amp;" OR "&amp;E281))</f>
        <v/>
      </c>
      <c r="F291">
        <f>IF(F281="",F290,IF(F290="",F281,F290&amp;" OR "&amp;F281))</f>
        <v/>
      </c>
    </row>
    <row r="292" hidden="1">
      <c r="B292">
        <f>IF(B282="",B291,IF(B291="",B282,B291&amp;" OR "&amp;B282))</f>
        <v/>
      </c>
      <c r="C292">
        <f>IF(C282="",C291,IF(C291="",C282,C291&amp;" OR "&amp;C282))</f>
        <v/>
      </c>
      <c r="D292">
        <f>IF(D282="",D291,IF(D291="",D282,D291&amp;" OR "&amp;D282))</f>
        <v/>
      </c>
      <c r="E292">
        <f>IF(E282="",E291,IF(E291="",E282,E291&amp;" OR "&amp;E282))</f>
        <v/>
      </c>
      <c r="F292">
        <f>IF(F282="",F291,IF(F291="",F282,F291&amp;" OR "&amp;F282))</f>
        <v/>
      </c>
    </row>
    <row r="295" hidden="1">
      <c r="B295">
        <f>B35</f>
        <v/>
      </c>
      <c r="C295">
        <f>IF(C35="",B295,IF(B295="",C35,B295&amp;" AND "&amp;C35))</f>
        <v/>
      </c>
      <c r="D295">
        <f>IF(D35="",C295,IF(C295="",D35,C295&amp;" AND "&amp;D35))</f>
        <v/>
      </c>
      <c r="E295">
        <f>IF(E35="",D295,IF(D295="",E35,D295&amp;" AND "&amp;E35))</f>
        <v/>
      </c>
      <c r="F295">
        <f>IF(F35="",E295,IF(E295="",F35,E295&amp;" AND "&amp;F35))</f>
        <v/>
      </c>
    </row>
  </sheetData>
  <mergeCells count="10">
    <mergeCell ref="B21:F21"/>
    <mergeCell ref="B43:F43"/>
    <mergeCell ref="A47:F47"/>
    <mergeCell ref="A46:F46"/>
    <mergeCell ref="B20:F20"/>
    <mergeCell ref="B42:F42"/>
    <mergeCell ref="B19:F19"/>
    <mergeCell ref="B22:F22"/>
    <mergeCell ref="B40:F40"/>
    <mergeCell ref="B41:F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16" customWidth="1" min="3" max="3"/>
    <col width="70" customWidth="1" min="4" max="4"/>
    <col width="30" customWidth="1" min="5" max="5"/>
    <col width="16" customWidth="1" min="6" max="6"/>
    <col width="36" customWidth="1" min="7" max="7"/>
  </cols>
  <sheetData>
    <row r="1">
      <c r="A1" s="4" t="inlineStr">
        <is>
          <t>Ημερολόγιο αναζήτησης</t>
        </is>
      </c>
    </row>
    <row r="2" ht="30" customHeight="1">
      <c r="A2" s="5" t="inlineStr">
        <is>
          <t>Μία γραμμή ανά αναζήτηση. Αντιγράψτε τη συμβολοσειρά όπως ακριβώς εκτελέστηκε στη βάση.</t>
        </is>
      </c>
    </row>
    <row r="4" ht="42" customHeight="1">
      <c r="A4" s="27" t="inlineStr">
        <is>
          <t>Α/Α</t>
        </is>
      </c>
      <c r="B4" s="27" t="inlineStr">
        <is>
          <t>Βάση δεδομένων</t>
        </is>
      </c>
      <c r="C4" s="27" t="inlineStr">
        <is>
          <t>Ημερομηνία αναζήτησης</t>
        </is>
      </c>
      <c r="D4" s="27" t="inlineStr">
        <is>
          <t>Συμβολοσειρά αναζήτησης (όπως εκτελέστηκε)</t>
        </is>
      </c>
      <c r="E4" s="27" t="inlineStr">
        <is>
          <t>Φίλτρα</t>
        </is>
      </c>
      <c r="F4" s="27" t="inlineStr">
        <is>
          <t>Αποτελέσματα (n)</t>
        </is>
      </c>
      <c r="G4" s="27" t="inlineStr">
        <is>
          <t>Σημειώσεις</t>
        </is>
      </c>
    </row>
    <row r="5">
      <c r="A5" s="21" t="n">
        <v>1</v>
      </c>
      <c r="B5" s="21" t="inlineStr">
        <is>
          <t>Scopus</t>
        </is>
      </c>
      <c r="C5" s="21" t="inlineStr">
        <is>
          <t>2026-12-10</t>
        </is>
      </c>
      <c r="D5" s="21" t="inlineStr">
        <is>
          <t>TITLE-ABS-KEY(("learning analytics") AND (dashboard* OR "visual analytics") AND ("self-regulat*" OR SRL) AND ("higher education" OR universit* OR undergraduate*)) AND PUBYEAR &gt; 2018 AND LANGUAGE(english)</t>
        </is>
      </c>
      <c r="E5" s="21" t="inlineStr">
        <is>
          <t>έτος 2019 και μετά, αγγλικά, άρθρα και συνέδρια</t>
        </is>
      </c>
      <c r="F5" s="21" t="n">
        <v>230</v>
      </c>
      <c r="G5" s="21" t="inlineStr">
        <is>
          <t>Παράδειγμα: διαγράψτε το πριν ξεκινήσετε.</t>
        </is>
      </c>
    </row>
    <row r="6">
      <c r="A6" s="11" t="n"/>
      <c r="B6" s="11" t="n"/>
      <c r="C6" s="11" t="n"/>
      <c r="D6" s="11" t="n"/>
      <c r="E6" s="11" t="n"/>
      <c r="F6" s="11" t="n"/>
      <c r="G6" s="11" t="n"/>
    </row>
    <row r="7">
      <c r="A7" s="11" t="n"/>
      <c r="B7" s="11" t="n"/>
      <c r="C7" s="11" t="n"/>
      <c r="D7" s="11" t="n"/>
      <c r="E7" s="11" t="n"/>
      <c r="F7" s="11" t="n"/>
      <c r="G7" s="11" t="n"/>
    </row>
    <row r="8">
      <c r="A8" s="11" t="n"/>
      <c r="B8" s="11" t="n"/>
      <c r="C8" s="11" t="n"/>
      <c r="D8" s="11" t="n"/>
      <c r="E8" s="11" t="n"/>
      <c r="F8" s="11" t="n"/>
      <c r="G8" s="11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7">
      <c r="E27" s="28" t="inlineStr">
        <is>
          <t>Σύνολο εγγραφών που εντοπίστηκαν</t>
        </is>
      </c>
      <c r="F27" s="29">
        <f>SUM(F5:F25)</f>
        <v/>
      </c>
    </row>
  </sheetData>
  <dataValidations count="1">
    <dataValidation sqref="B6:B25" showDropDown="0" showInputMessage="0" showErrorMessage="0" allowBlank="1" error="Επιλέξτε τιμή από τη λίστα." type="list">
      <formula1>"Scopus,ERIC,IEEE Xplore,ACM Digital Library,Web of Science,Άλλη"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8" customWidth="1" min="3" max="3"/>
    <col width="60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16" customWidth="1" min="10" max="10"/>
    <col width="16" customWidth="1" min="11" max="11"/>
    <col width="18" customWidth="1" min="12" max="12"/>
    <col width="34" customWidth="1" min="13" max="13"/>
  </cols>
  <sheetData>
    <row r="1">
      <c r="A1" s="4" t="inlineStr">
        <is>
          <t>Επιλογή μελετών σε δύο στάδια</t>
        </is>
      </c>
    </row>
    <row r="2" ht="30" customHeight="1">
      <c r="A2" s="5" t="inlineStr">
        <is>
          <t>Στάδιο 1: τίτλος και περίληψη, ανεξάρτητα από τα δύο μέλη. Στάδιο 2: πλήρες κείμενο. Κάθε αποκλεισμός στο Στάδιο 2 χρειάζεται λόγο.</t>
        </is>
      </c>
    </row>
    <row r="4" ht="42" customHeight="1">
      <c r="A4" s="27" t="inlineStr">
        <is>
          <t>ID</t>
        </is>
      </c>
      <c r="B4" s="27" t="inlineStr">
        <is>
          <t>Συγγραφείς</t>
        </is>
      </c>
      <c r="C4" s="27" t="inlineStr">
        <is>
          <t>Έτος</t>
        </is>
      </c>
      <c r="D4" s="27" t="inlineStr">
        <is>
          <t>Τίτλος</t>
        </is>
      </c>
      <c r="E4" s="27" t="inlineStr">
        <is>
          <t>Βάση δεδομένων</t>
        </is>
      </c>
      <c r="F4" s="27" t="inlineStr">
        <is>
          <t>Διπλοεγγραφή;</t>
        </is>
      </c>
      <c r="G4" s="27" t="inlineStr">
        <is>
          <t>Στάδιο 1: Μέλος Α</t>
        </is>
      </c>
      <c r="H4" s="27" t="inlineStr">
        <is>
          <t>Στάδιο 1: Μέλος Β</t>
        </is>
      </c>
      <c r="I4" s="27" t="inlineStr">
        <is>
          <t>Συμφωνία;</t>
        </is>
      </c>
      <c r="J4" s="27" t="inlineStr">
        <is>
          <t>Στάδιο 1: τελική απόφαση</t>
        </is>
      </c>
      <c r="K4" s="27" t="inlineStr">
        <is>
          <t>Πλήρες κείμενο βρέθηκε;</t>
        </is>
      </c>
      <c r="L4" s="27" t="inlineStr">
        <is>
          <t>Στάδιο 2: τελική απόφαση</t>
        </is>
      </c>
      <c r="M4" s="27" t="inlineStr">
        <is>
          <t>Λόγος αποκλεισμού (Στάδιο 2)</t>
        </is>
      </c>
    </row>
    <row r="5">
      <c r="A5" s="21" t="n">
        <v>1</v>
      </c>
      <c r="B5" s="21" t="inlineStr">
        <is>
          <t>Herodotou, C., Rienties, B., Boroowa, A., Zdrahal, Z., &amp; Hlosta, M.</t>
        </is>
      </c>
      <c r="C5" s="21" t="n">
        <v>2019</v>
      </c>
      <c r="D5" s="21" t="inlineStr">
        <is>
          <t>A large-scale implementation of predictive learning analytics in higher education: the teachers' role and perspective</t>
        </is>
      </c>
      <c r="E5" s="21" t="inlineStr">
        <is>
          <t>Scopus</t>
        </is>
      </c>
      <c r="F5" s="21" t="inlineStr">
        <is>
          <t>ΟΧΙ</t>
        </is>
      </c>
      <c r="G5" s="21" t="inlineStr">
        <is>
          <t>ΝΑΙ</t>
        </is>
      </c>
      <c r="H5" s="21" t="inlineStr">
        <is>
          <t>ΝΑΙ</t>
        </is>
      </c>
      <c r="I5" s="21">
        <f>IF(OR(G5="",H5=""),"",IF(G5=H5,"ΝΑΙ","ΣΥΖΗΤΗΣΗ"))</f>
        <v/>
      </c>
      <c r="J5" s="21" t="inlineStr">
        <is>
          <t>ΝΑΙ</t>
        </is>
      </c>
      <c r="K5" s="21" t="inlineStr">
        <is>
          <t>ΝΑΙ</t>
        </is>
      </c>
      <c r="L5" s="21" t="inlineStr">
        <is>
          <t>ΕΝΤΑΞΗ</t>
        </is>
      </c>
      <c r="M5" s="21" t="inlineStr"/>
    </row>
    <row r="6">
      <c r="A6" s="21" t="n">
        <v>2</v>
      </c>
      <c r="B6" s="21" t="inlineStr">
        <is>
          <t>Herodotou, C., Rienties, B., Boroowa, A., Zdrahal, Z., &amp; Hlosta, M.</t>
        </is>
      </c>
      <c r="C6" s="21" t="n">
        <v>2019</v>
      </c>
      <c r="D6" s="21" t="inlineStr">
        <is>
          <t>A large-scale implementation of predictive learning analytics in higher education: the teachers' role and perspective</t>
        </is>
      </c>
      <c r="E6" s="21" t="inlineStr">
        <is>
          <t>ERIC</t>
        </is>
      </c>
      <c r="F6" s="21" t="inlineStr">
        <is>
          <t>ΝΑΙ</t>
        </is>
      </c>
      <c r="G6" s="21" t="inlineStr"/>
      <c r="H6" s="21" t="inlineStr"/>
      <c r="I6" s="21">
        <f>IF(OR(G6="",H6=""),"",IF(G6=H6,"ΝΑΙ","ΣΥΖΗΤΗΣΗ"))</f>
        <v/>
      </c>
      <c r="J6" s="21" t="inlineStr"/>
      <c r="K6" s="21" t="inlineStr"/>
      <c r="L6" s="21" t="inlineStr"/>
      <c r="M6" s="21" t="inlineStr"/>
    </row>
    <row r="7">
      <c r="A7" s="21" t="n">
        <v>3</v>
      </c>
      <c r="B7" s="21" t="inlineStr">
        <is>
          <t>Kaliisa, R., Misiejuk, K., López-Pernas, S., Khalil, M., &amp; Saqr, M.</t>
        </is>
      </c>
      <c r="C7" s="21" t="n">
        <v>2024</v>
      </c>
      <c r="D7" s="21" t="inlineStr">
        <is>
          <t>Have learning analytics dashboards lived up to the hype? A systematic review of impact on students' achievement, motivation, participation and attitude</t>
        </is>
      </c>
      <c r="E7" s="21" t="inlineStr">
        <is>
          <t>ACM Digital Library</t>
        </is>
      </c>
      <c r="F7" s="21" t="inlineStr">
        <is>
          <t>ΟΧΙ</t>
        </is>
      </c>
      <c r="G7" s="21" t="inlineStr">
        <is>
          <t>ΝΑΙ</t>
        </is>
      </c>
      <c r="H7" s="21" t="inlineStr">
        <is>
          <t>ΟΧΙ</t>
        </is>
      </c>
      <c r="I7" s="21">
        <f>IF(OR(G7="",H7=""),"",IF(G7=H7,"ΝΑΙ","ΣΥΖΗΤΗΣΗ"))</f>
        <v/>
      </c>
      <c r="J7" s="21" t="inlineStr">
        <is>
          <t>ΝΑΙ</t>
        </is>
      </c>
      <c r="K7" s="21" t="inlineStr">
        <is>
          <t>ΝΑΙ</t>
        </is>
      </c>
      <c r="L7" s="21" t="inlineStr">
        <is>
          <t>ΑΠΟΚΛΕΙΣΜΟΣ</t>
        </is>
      </c>
      <c r="M7" s="21" t="inlineStr">
        <is>
          <t>Ανασκόπηση</t>
        </is>
      </c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30">
        <f>IF(OR(G8="",H8=""),"",IF(G8=H8,"ΝΑΙ","ΣΥΖΗΤΗΣΗ"))</f>
        <v/>
      </c>
      <c r="J8" s="11" t="n"/>
      <c r="K8" s="11" t="n"/>
      <c r="L8" s="11" t="n"/>
      <c r="M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30">
        <f>IF(OR(G9="",H9=""),"",IF(G9=H9,"ΝΑΙ","ΣΥΖΗΤΗΣΗ"))</f>
        <v/>
      </c>
      <c r="J9" s="11" t="n"/>
      <c r="K9" s="11" t="n"/>
      <c r="L9" s="11" t="n"/>
      <c r="M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30">
        <f>IF(OR(G10="",H10=""),"",IF(G10=H10,"ΝΑΙ","ΣΥΖΗΤΗΣΗ"))</f>
        <v/>
      </c>
      <c r="J10" s="11" t="n"/>
      <c r="K10" s="11" t="n"/>
      <c r="L10" s="11" t="n"/>
      <c r="M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30">
        <f>IF(OR(G11="",H11=""),"",IF(G11=H11,"ΝΑΙ","ΣΥΖΗΤΗΣΗ"))</f>
        <v/>
      </c>
      <c r="J11" s="11" t="n"/>
      <c r="K11" s="11" t="n"/>
      <c r="L11" s="11" t="n"/>
      <c r="M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30">
        <f>IF(OR(G12="",H12=""),"",IF(G12=H12,"ΝΑΙ","ΣΥΖΗΤΗΣΗ"))</f>
        <v/>
      </c>
      <c r="J12" s="11" t="n"/>
      <c r="K12" s="11" t="n"/>
      <c r="L12" s="11" t="n"/>
      <c r="M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30">
        <f>IF(OR(G13="",H13=""),"",IF(G13=H13,"ΝΑΙ","ΣΥΖΗΤΗΣΗ"))</f>
        <v/>
      </c>
      <c r="J13" s="11" t="n"/>
      <c r="K13" s="11" t="n"/>
      <c r="L13" s="11" t="n"/>
      <c r="M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30">
        <f>IF(OR(G14="",H14=""),"",IF(G14=H14,"ΝΑΙ","ΣΥΖΗΤΗΣΗ"))</f>
        <v/>
      </c>
      <c r="J14" s="11" t="n"/>
      <c r="K14" s="11" t="n"/>
      <c r="L14" s="11" t="n"/>
      <c r="M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30">
        <f>IF(OR(G15="",H15=""),"",IF(G15=H15,"ΝΑΙ","ΣΥΖΗΤΗΣΗ"))</f>
        <v/>
      </c>
      <c r="J15" s="11" t="n"/>
      <c r="K15" s="11" t="n"/>
      <c r="L15" s="11" t="n"/>
      <c r="M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30">
        <f>IF(OR(G16="",H16=""),"",IF(G16=H16,"ΝΑΙ","ΣΥΖΗΤΗΣΗ"))</f>
        <v/>
      </c>
      <c r="J16" s="11" t="n"/>
      <c r="K16" s="11" t="n"/>
      <c r="L16" s="11" t="n"/>
      <c r="M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30">
        <f>IF(OR(G17="",H17=""),"",IF(G17=H17,"ΝΑΙ","ΣΥΖΗΤΗΣΗ"))</f>
        <v/>
      </c>
      <c r="J17" s="11" t="n"/>
      <c r="K17" s="11" t="n"/>
      <c r="L17" s="11" t="n"/>
      <c r="M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30">
        <f>IF(OR(G18="",H18=""),"",IF(G18=H18,"ΝΑΙ","ΣΥΖΗΤΗΣΗ"))</f>
        <v/>
      </c>
      <c r="J18" s="11" t="n"/>
      <c r="K18" s="11" t="n"/>
      <c r="L18" s="11" t="n"/>
      <c r="M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30">
        <f>IF(OR(G19="",H19=""),"",IF(G19=H19,"ΝΑΙ","ΣΥΖΗΤΗΣΗ"))</f>
        <v/>
      </c>
      <c r="J19" s="11" t="n"/>
      <c r="K19" s="11" t="n"/>
      <c r="L19" s="11" t="n"/>
      <c r="M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30">
        <f>IF(OR(G20="",H20=""),"",IF(G20=H20,"ΝΑΙ","ΣΥΖΗΤΗΣΗ"))</f>
        <v/>
      </c>
      <c r="J20" s="11" t="n"/>
      <c r="K20" s="11" t="n"/>
      <c r="L20" s="11" t="n"/>
      <c r="M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30">
        <f>IF(OR(G21="",H21=""),"",IF(G21=H21,"ΝΑΙ","ΣΥΖΗΤΗΣΗ"))</f>
        <v/>
      </c>
      <c r="J21" s="11" t="n"/>
      <c r="K21" s="11" t="n"/>
      <c r="L21" s="11" t="n"/>
      <c r="M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30">
        <f>IF(OR(G22="",H22=""),"",IF(G22=H22,"ΝΑΙ","ΣΥΖΗΤΗΣΗ"))</f>
        <v/>
      </c>
      <c r="J22" s="11" t="n"/>
      <c r="K22" s="11" t="n"/>
      <c r="L22" s="11" t="n"/>
      <c r="M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30">
        <f>IF(OR(G23="",H23=""),"",IF(G23=H23,"ΝΑΙ","ΣΥΖΗΤΗΣΗ"))</f>
        <v/>
      </c>
      <c r="J23" s="11" t="n"/>
      <c r="K23" s="11" t="n"/>
      <c r="L23" s="11" t="n"/>
      <c r="M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30">
        <f>IF(OR(G24="",H24=""),"",IF(G24=H24,"ΝΑΙ","ΣΥΖΗΤΗΣΗ"))</f>
        <v/>
      </c>
      <c r="J24" s="11" t="n"/>
      <c r="K24" s="11" t="n"/>
      <c r="L24" s="11" t="n"/>
      <c r="M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30">
        <f>IF(OR(G25="",H25=""),"",IF(G25=H25,"ΝΑΙ","ΣΥΖΗΤΗΣΗ"))</f>
        <v/>
      </c>
      <c r="J25" s="11" t="n"/>
      <c r="K25" s="11" t="n"/>
      <c r="L25" s="11" t="n"/>
      <c r="M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30">
        <f>IF(OR(G26="",H26=""),"",IF(G26=H26,"ΝΑΙ","ΣΥΖΗΤΗΣΗ"))</f>
        <v/>
      </c>
      <c r="J26" s="11" t="n"/>
      <c r="K26" s="11" t="n"/>
      <c r="L26" s="11" t="n"/>
      <c r="M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30">
        <f>IF(OR(G27="",H27=""),"",IF(G27=H27,"ΝΑΙ","ΣΥΖΗΤΗΣΗ"))</f>
        <v/>
      </c>
      <c r="J27" s="11" t="n"/>
      <c r="K27" s="11" t="n"/>
      <c r="L27" s="11" t="n"/>
      <c r="M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30">
        <f>IF(OR(G28="",H28=""),"",IF(G28=H28,"ΝΑΙ","ΣΥΖΗΤΗΣΗ"))</f>
        <v/>
      </c>
      <c r="J28" s="11" t="n"/>
      <c r="K28" s="11" t="n"/>
      <c r="L28" s="11" t="n"/>
      <c r="M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30">
        <f>IF(OR(G29="",H29=""),"",IF(G29=H29,"ΝΑΙ","ΣΥΖΗΤΗΣΗ"))</f>
        <v/>
      </c>
      <c r="J29" s="11" t="n"/>
      <c r="K29" s="11" t="n"/>
      <c r="L29" s="11" t="n"/>
      <c r="M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30">
        <f>IF(OR(G30="",H30=""),"",IF(G30=H30,"ΝΑΙ","ΣΥΖΗΤΗΣΗ"))</f>
        <v/>
      </c>
      <c r="J30" s="11" t="n"/>
      <c r="K30" s="11" t="n"/>
      <c r="L30" s="11" t="n"/>
      <c r="M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30">
        <f>IF(OR(G31="",H31=""),"",IF(G31=H31,"ΝΑΙ","ΣΥΖΗΤΗΣΗ"))</f>
        <v/>
      </c>
      <c r="J31" s="11" t="n"/>
      <c r="K31" s="11" t="n"/>
      <c r="L31" s="11" t="n"/>
      <c r="M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30">
        <f>IF(OR(G32="",H32=""),"",IF(G32=H32,"ΝΑΙ","ΣΥΖΗΤΗΣΗ"))</f>
        <v/>
      </c>
      <c r="J32" s="11" t="n"/>
      <c r="K32" s="11" t="n"/>
      <c r="L32" s="11" t="n"/>
      <c r="M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30">
        <f>IF(OR(G33="",H33=""),"",IF(G33=H33,"ΝΑΙ","ΣΥΖΗΤΗΣΗ"))</f>
        <v/>
      </c>
      <c r="J33" s="11" t="n"/>
      <c r="K33" s="11" t="n"/>
      <c r="L33" s="11" t="n"/>
      <c r="M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30">
        <f>IF(OR(G34="",H34=""),"",IF(G34=H34,"ΝΑΙ","ΣΥΖΗΤΗΣΗ"))</f>
        <v/>
      </c>
      <c r="J34" s="11" t="n"/>
      <c r="K34" s="11" t="n"/>
      <c r="L34" s="11" t="n"/>
      <c r="M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30">
        <f>IF(OR(G35="",H35=""),"",IF(G35=H35,"ΝΑΙ","ΣΥΖΗΤΗΣΗ"))</f>
        <v/>
      </c>
      <c r="J35" s="11" t="n"/>
      <c r="K35" s="11" t="n"/>
      <c r="L35" s="11" t="n"/>
      <c r="M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30">
        <f>IF(OR(G36="",H36=""),"",IF(G36=H36,"ΝΑΙ","ΣΥΖΗΤΗΣΗ"))</f>
        <v/>
      </c>
      <c r="J36" s="11" t="n"/>
      <c r="K36" s="11" t="n"/>
      <c r="L36" s="11" t="n"/>
      <c r="M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30">
        <f>IF(OR(G37="",H37=""),"",IF(G37=H37,"ΝΑΙ","ΣΥΖΗΤΗΣΗ"))</f>
        <v/>
      </c>
      <c r="J37" s="11" t="n"/>
      <c r="K37" s="11" t="n"/>
      <c r="L37" s="11" t="n"/>
      <c r="M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30">
        <f>IF(OR(G38="",H38=""),"",IF(G38=H38,"ΝΑΙ","ΣΥΖΗΤΗΣΗ"))</f>
        <v/>
      </c>
      <c r="J38" s="11" t="n"/>
      <c r="K38" s="11" t="n"/>
      <c r="L38" s="11" t="n"/>
      <c r="M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30">
        <f>IF(OR(G39="",H39=""),"",IF(G39=H39,"ΝΑΙ","ΣΥΖΗΤΗΣΗ"))</f>
        <v/>
      </c>
      <c r="J39" s="11" t="n"/>
      <c r="K39" s="11" t="n"/>
      <c r="L39" s="11" t="n"/>
      <c r="M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30">
        <f>IF(OR(G40="",H40=""),"",IF(G40=H40,"ΝΑΙ","ΣΥΖΗΤΗΣΗ"))</f>
        <v/>
      </c>
      <c r="J40" s="11" t="n"/>
      <c r="K40" s="11" t="n"/>
      <c r="L40" s="11" t="n"/>
      <c r="M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30">
        <f>IF(OR(G41="",H41=""),"",IF(G41=H41,"ΝΑΙ","ΣΥΖΗΤΗΣΗ"))</f>
        <v/>
      </c>
      <c r="J41" s="11" t="n"/>
      <c r="K41" s="11" t="n"/>
      <c r="L41" s="11" t="n"/>
      <c r="M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30">
        <f>IF(OR(G42="",H42=""),"",IF(G42=H42,"ΝΑΙ","ΣΥΖΗΤΗΣΗ"))</f>
        <v/>
      </c>
      <c r="J42" s="11" t="n"/>
      <c r="K42" s="11" t="n"/>
      <c r="L42" s="11" t="n"/>
      <c r="M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30">
        <f>IF(OR(G43="",H43=""),"",IF(G43=H43,"ΝΑΙ","ΣΥΖΗΤΗΣΗ"))</f>
        <v/>
      </c>
      <c r="J43" s="11" t="n"/>
      <c r="K43" s="11" t="n"/>
      <c r="L43" s="11" t="n"/>
      <c r="M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30">
        <f>IF(OR(G44="",H44=""),"",IF(G44=H44,"ΝΑΙ","ΣΥΖΗΤΗΣΗ"))</f>
        <v/>
      </c>
      <c r="J44" s="11" t="n"/>
      <c r="K44" s="11" t="n"/>
      <c r="L44" s="11" t="n"/>
      <c r="M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30">
        <f>IF(OR(G45="",H45=""),"",IF(G45=H45,"ΝΑΙ","ΣΥΖΗΤΗΣΗ"))</f>
        <v/>
      </c>
      <c r="J45" s="11" t="n"/>
      <c r="K45" s="11" t="n"/>
      <c r="L45" s="11" t="n"/>
      <c r="M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30">
        <f>IF(OR(G46="",H46=""),"",IF(G46=H46,"ΝΑΙ","ΣΥΖΗΤΗΣΗ"))</f>
        <v/>
      </c>
      <c r="J46" s="11" t="n"/>
      <c r="K46" s="11" t="n"/>
      <c r="L46" s="11" t="n"/>
      <c r="M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30">
        <f>IF(OR(G47="",H47=""),"",IF(G47=H47,"ΝΑΙ","ΣΥΖΗΤΗΣΗ"))</f>
        <v/>
      </c>
      <c r="J47" s="11" t="n"/>
      <c r="K47" s="11" t="n"/>
      <c r="L47" s="11" t="n"/>
      <c r="M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30">
        <f>IF(OR(G48="",H48=""),"",IF(G48=H48,"ΝΑΙ","ΣΥΖΗΤΗΣΗ"))</f>
        <v/>
      </c>
      <c r="J48" s="11" t="n"/>
      <c r="K48" s="11" t="n"/>
      <c r="L48" s="11" t="n"/>
      <c r="M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30">
        <f>IF(OR(G49="",H49=""),"",IF(G49=H49,"ΝΑΙ","ΣΥΖΗΤΗΣΗ"))</f>
        <v/>
      </c>
      <c r="J49" s="11" t="n"/>
      <c r="K49" s="11" t="n"/>
      <c r="L49" s="11" t="n"/>
      <c r="M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30">
        <f>IF(OR(G50="",H50=""),"",IF(G50=H50,"ΝΑΙ","ΣΥΖΗΤΗΣΗ"))</f>
        <v/>
      </c>
      <c r="J50" s="11" t="n"/>
      <c r="K50" s="11" t="n"/>
      <c r="L50" s="11" t="n"/>
      <c r="M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30">
        <f>IF(OR(G51="",H51=""),"",IF(G51=H51,"ΝΑΙ","ΣΥΖΗΤΗΣΗ"))</f>
        <v/>
      </c>
      <c r="J51" s="11" t="n"/>
      <c r="K51" s="11" t="n"/>
      <c r="L51" s="11" t="n"/>
      <c r="M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30">
        <f>IF(OR(G52="",H52=""),"",IF(G52=H52,"ΝΑΙ","ΣΥΖΗΤΗΣΗ"))</f>
        <v/>
      </c>
      <c r="J52" s="11" t="n"/>
      <c r="K52" s="11" t="n"/>
      <c r="L52" s="11" t="n"/>
      <c r="M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30">
        <f>IF(OR(G53="",H53=""),"",IF(G53=H53,"ΝΑΙ","ΣΥΖΗΤΗΣΗ"))</f>
        <v/>
      </c>
      <c r="J53" s="11" t="n"/>
      <c r="K53" s="11" t="n"/>
      <c r="L53" s="11" t="n"/>
      <c r="M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30">
        <f>IF(OR(G54="",H54=""),"",IF(G54=H54,"ΝΑΙ","ΣΥΖΗΤΗΣΗ"))</f>
        <v/>
      </c>
      <c r="J54" s="11" t="n"/>
      <c r="K54" s="11" t="n"/>
      <c r="L54" s="11" t="n"/>
      <c r="M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30">
        <f>IF(OR(G55="",H55=""),"",IF(G55=H55,"ΝΑΙ","ΣΥΖΗΤΗΣΗ"))</f>
        <v/>
      </c>
      <c r="J55" s="11" t="n"/>
      <c r="K55" s="11" t="n"/>
      <c r="L55" s="11" t="n"/>
      <c r="M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30">
        <f>IF(OR(G56="",H56=""),"",IF(G56=H56,"ΝΑΙ","ΣΥΖΗΤΗΣΗ"))</f>
        <v/>
      </c>
      <c r="J56" s="11" t="n"/>
      <c r="K56" s="11" t="n"/>
      <c r="L56" s="11" t="n"/>
      <c r="M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30">
        <f>IF(OR(G57="",H57=""),"",IF(G57=H57,"ΝΑΙ","ΣΥΖΗΤΗΣΗ"))</f>
        <v/>
      </c>
      <c r="J57" s="11" t="n"/>
      <c r="K57" s="11" t="n"/>
      <c r="L57" s="11" t="n"/>
      <c r="M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30">
        <f>IF(OR(G58="",H58=""),"",IF(G58=H58,"ΝΑΙ","ΣΥΖΗΤΗΣΗ"))</f>
        <v/>
      </c>
      <c r="J58" s="11" t="n"/>
      <c r="K58" s="11" t="n"/>
      <c r="L58" s="11" t="n"/>
      <c r="M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30">
        <f>IF(OR(G59="",H59=""),"",IF(G59=H59,"ΝΑΙ","ΣΥΖΗΤΗΣΗ"))</f>
        <v/>
      </c>
      <c r="J59" s="11" t="n"/>
      <c r="K59" s="11" t="n"/>
      <c r="L59" s="11" t="n"/>
      <c r="M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30">
        <f>IF(OR(G60="",H60=""),"",IF(G60=H60,"ΝΑΙ","ΣΥΖΗΤΗΣΗ"))</f>
        <v/>
      </c>
      <c r="J60" s="11" t="n"/>
      <c r="K60" s="11" t="n"/>
      <c r="L60" s="11" t="n"/>
      <c r="M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30">
        <f>IF(OR(G61="",H61=""),"",IF(G61=H61,"ΝΑΙ","ΣΥΖΗΤΗΣΗ"))</f>
        <v/>
      </c>
      <c r="J61" s="11" t="n"/>
      <c r="K61" s="11" t="n"/>
      <c r="L61" s="11" t="n"/>
      <c r="M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30">
        <f>IF(OR(G62="",H62=""),"",IF(G62=H62,"ΝΑΙ","ΣΥΖΗΤΗΣΗ"))</f>
        <v/>
      </c>
      <c r="J62" s="11" t="n"/>
      <c r="K62" s="11" t="n"/>
      <c r="L62" s="11" t="n"/>
      <c r="M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30">
        <f>IF(OR(G63="",H63=""),"",IF(G63=H63,"ΝΑΙ","ΣΥΖΗΤΗΣΗ"))</f>
        <v/>
      </c>
      <c r="J63" s="11" t="n"/>
      <c r="K63" s="11" t="n"/>
      <c r="L63" s="11" t="n"/>
      <c r="M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30">
        <f>IF(OR(G64="",H64=""),"",IF(G64=H64,"ΝΑΙ","ΣΥΖΗΤΗΣΗ"))</f>
        <v/>
      </c>
      <c r="J64" s="11" t="n"/>
      <c r="K64" s="11" t="n"/>
      <c r="L64" s="11" t="n"/>
      <c r="M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30">
        <f>IF(OR(G65="",H65=""),"",IF(G65=H65,"ΝΑΙ","ΣΥΖΗΤΗΣΗ"))</f>
        <v/>
      </c>
      <c r="J65" s="11" t="n"/>
      <c r="K65" s="11" t="n"/>
      <c r="L65" s="11" t="n"/>
      <c r="M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30">
        <f>IF(OR(G66="",H66=""),"",IF(G66=H66,"ΝΑΙ","ΣΥΖΗΤΗΣΗ"))</f>
        <v/>
      </c>
      <c r="J66" s="11" t="n"/>
      <c r="K66" s="11" t="n"/>
      <c r="L66" s="11" t="n"/>
      <c r="M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30">
        <f>IF(OR(G67="",H67=""),"",IF(G67=H67,"ΝΑΙ","ΣΥΖΗΤΗΣΗ"))</f>
        <v/>
      </c>
      <c r="J67" s="11" t="n"/>
      <c r="K67" s="11" t="n"/>
      <c r="L67" s="11" t="n"/>
      <c r="M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30">
        <f>IF(OR(G68="",H68=""),"",IF(G68=H68,"ΝΑΙ","ΣΥΖΗΤΗΣΗ"))</f>
        <v/>
      </c>
      <c r="J68" s="11" t="n"/>
      <c r="K68" s="11" t="n"/>
      <c r="L68" s="11" t="n"/>
      <c r="M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30">
        <f>IF(OR(G69="",H69=""),"",IF(G69=H69,"ΝΑΙ","ΣΥΖΗΤΗΣΗ"))</f>
        <v/>
      </c>
      <c r="J69" s="11" t="n"/>
      <c r="K69" s="11" t="n"/>
      <c r="L69" s="11" t="n"/>
      <c r="M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30">
        <f>IF(OR(G70="",H70=""),"",IF(G70=H70,"ΝΑΙ","ΣΥΖΗΤΗΣΗ"))</f>
        <v/>
      </c>
      <c r="J70" s="11" t="n"/>
      <c r="K70" s="11" t="n"/>
      <c r="L70" s="11" t="n"/>
      <c r="M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30">
        <f>IF(OR(G71="",H71=""),"",IF(G71=H71,"ΝΑΙ","ΣΥΖΗΤΗΣΗ"))</f>
        <v/>
      </c>
      <c r="J71" s="11" t="n"/>
      <c r="K71" s="11" t="n"/>
      <c r="L71" s="11" t="n"/>
      <c r="M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30">
        <f>IF(OR(G72="",H72=""),"",IF(G72=H72,"ΝΑΙ","ΣΥΖΗΤΗΣΗ"))</f>
        <v/>
      </c>
      <c r="J72" s="11" t="n"/>
      <c r="K72" s="11" t="n"/>
      <c r="L72" s="11" t="n"/>
      <c r="M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30">
        <f>IF(OR(G73="",H73=""),"",IF(G73=H73,"ΝΑΙ","ΣΥΖΗΤΗΣΗ"))</f>
        <v/>
      </c>
      <c r="J73" s="11" t="n"/>
      <c r="K73" s="11" t="n"/>
      <c r="L73" s="11" t="n"/>
      <c r="M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30">
        <f>IF(OR(G74="",H74=""),"",IF(G74=H74,"ΝΑΙ","ΣΥΖΗΤΗΣΗ"))</f>
        <v/>
      </c>
      <c r="J74" s="11" t="n"/>
      <c r="K74" s="11" t="n"/>
      <c r="L74" s="11" t="n"/>
      <c r="M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30">
        <f>IF(OR(G75="",H75=""),"",IF(G75=H75,"ΝΑΙ","ΣΥΖΗΤΗΣΗ"))</f>
        <v/>
      </c>
      <c r="J75" s="11" t="n"/>
      <c r="K75" s="11" t="n"/>
      <c r="L75" s="11" t="n"/>
      <c r="M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30">
        <f>IF(OR(G76="",H76=""),"",IF(G76=H76,"ΝΑΙ","ΣΥΖΗΤΗΣΗ"))</f>
        <v/>
      </c>
      <c r="J76" s="11" t="n"/>
      <c r="K76" s="11" t="n"/>
      <c r="L76" s="11" t="n"/>
      <c r="M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30">
        <f>IF(OR(G77="",H77=""),"",IF(G77=H77,"ΝΑΙ","ΣΥΖΗΤΗΣΗ"))</f>
        <v/>
      </c>
      <c r="J77" s="11" t="n"/>
      <c r="K77" s="11" t="n"/>
      <c r="L77" s="11" t="n"/>
      <c r="M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30">
        <f>IF(OR(G78="",H78=""),"",IF(G78=H78,"ΝΑΙ","ΣΥΖΗΤΗΣΗ"))</f>
        <v/>
      </c>
      <c r="J78" s="11" t="n"/>
      <c r="K78" s="11" t="n"/>
      <c r="L78" s="11" t="n"/>
      <c r="M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30">
        <f>IF(OR(G79="",H79=""),"",IF(G79=H79,"ΝΑΙ","ΣΥΖΗΤΗΣΗ"))</f>
        <v/>
      </c>
      <c r="J79" s="11" t="n"/>
      <c r="K79" s="11" t="n"/>
      <c r="L79" s="11" t="n"/>
      <c r="M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30">
        <f>IF(OR(G80="",H80=""),"",IF(G80=H80,"ΝΑΙ","ΣΥΖΗΤΗΣΗ"))</f>
        <v/>
      </c>
      <c r="J80" s="11" t="n"/>
      <c r="K80" s="11" t="n"/>
      <c r="L80" s="11" t="n"/>
      <c r="M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30">
        <f>IF(OR(G81="",H81=""),"",IF(G81=H81,"ΝΑΙ","ΣΥΖΗΤΗΣΗ"))</f>
        <v/>
      </c>
      <c r="J81" s="11" t="n"/>
      <c r="K81" s="11" t="n"/>
      <c r="L81" s="11" t="n"/>
      <c r="M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30">
        <f>IF(OR(G82="",H82=""),"",IF(G82=H82,"ΝΑΙ","ΣΥΖΗΤΗΣΗ"))</f>
        <v/>
      </c>
      <c r="J82" s="11" t="n"/>
      <c r="K82" s="11" t="n"/>
      <c r="L82" s="11" t="n"/>
      <c r="M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30">
        <f>IF(OR(G83="",H83=""),"",IF(G83=H83,"ΝΑΙ","ΣΥΖΗΤΗΣΗ"))</f>
        <v/>
      </c>
      <c r="J83" s="11" t="n"/>
      <c r="K83" s="11" t="n"/>
      <c r="L83" s="11" t="n"/>
      <c r="M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30">
        <f>IF(OR(G84="",H84=""),"",IF(G84=H84,"ΝΑΙ","ΣΥΖΗΤΗΣΗ"))</f>
        <v/>
      </c>
      <c r="J84" s="11" t="n"/>
      <c r="K84" s="11" t="n"/>
      <c r="L84" s="11" t="n"/>
      <c r="M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30">
        <f>IF(OR(G85="",H85=""),"",IF(G85=H85,"ΝΑΙ","ΣΥΖΗΤΗΣΗ"))</f>
        <v/>
      </c>
      <c r="J85" s="11" t="n"/>
      <c r="K85" s="11" t="n"/>
      <c r="L85" s="11" t="n"/>
      <c r="M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30">
        <f>IF(OR(G86="",H86=""),"",IF(G86=H86,"ΝΑΙ","ΣΥΖΗΤΗΣΗ"))</f>
        <v/>
      </c>
      <c r="J86" s="11" t="n"/>
      <c r="K86" s="11" t="n"/>
      <c r="L86" s="11" t="n"/>
      <c r="M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30">
        <f>IF(OR(G87="",H87=""),"",IF(G87=H87,"ΝΑΙ","ΣΥΖΗΤΗΣΗ"))</f>
        <v/>
      </c>
      <c r="J87" s="11" t="n"/>
      <c r="K87" s="11" t="n"/>
      <c r="L87" s="11" t="n"/>
      <c r="M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30">
        <f>IF(OR(G88="",H88=""),"",IF(G88=H88,"ΝΑΙ","ΣΥΖΗΤΗΣΗ"))</f>
        <v/>
      </c>
      <c r="J88" s="11" t="n"/>
      <c r="K88" s="11" t="n"/>
      <c r="L88" s="11" t="n"/>
      <c r="M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30">
        <f>IF(OR(G89="",H89=""),"",IF(G89=H89,"ΝΑΙ","ΣΥΖΗΤΗΣΗ"))</f>
        <v/>
      </c>
      <c r="J89" s="11" t="n"/>
      <c r="K89" s="11" t="n"/>
      <c r="L89" s="11" t="n"/>
      <c r="M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30">
        <f>IF(OR(G90="",H90=""),"",IF(G90=H90,"ΝΑΙ","ΣΥΖΗΤΗΣΗ"))</f>
        <v/>
      </c>
      <c r="J90" s="11" t="n"/>
      <c r="K90" s="11" t="n"/>
      <c r="L90" s="11" t="n"/>
      <c r="M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30">
        <f>IF(OR(G91="",H91=""),"",IF(G91=H91,"ΝΑΙ","ΣΥΖΗΤΗΣΗ"))</f>
        <v/>
      </c>
      <c r="J91" s="11" t="n"/>
      <c r="K91" s="11" t="n"/>
      <c r="L91" s="11" t="n"/>
      <c r="M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30">
        <f>IF(OR(G92="",H92=""),"",IF(G92=H92,"ΝΑΙ","ΣΥΖΗΤΗΣΗ"))</f>
        <v/>
      </c>
      <c r="J92" s="11" t="n"/>
      <c r="K92" s="11" t="n"/>
      <c r="L92" s="11" t="n"/>
      <c r="M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30">
        <f>IF(OR(G93="",H93=""),"",IF(G93=H93,"ΝΑΙ","ΣΥΖΗΤΗΣΗ"))</f>
        <v/>
      </c>
      <c r="J93" s="11" t="n"/>
      <c r="K93" s="11" t="n"/>
      <c r="L93" s="11" t="n"/>
      <c r="M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30">
        <f>IF(OR(G94="",H94=""),"",IF(G94=H94,"ΝΑΙ","ΣΥΖΗΤΗΣΗ"))</f>
        <v/>
      </c>
      <c r="J94" s="11" t="n"/>
      <c r="K94" s="11" t="n"/>
      <c r="L94" s="11" t="n"/>
      <c r="M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30">
        <f>IF(OR(G95="",H95=""),"",IF(G95=H95,"ΝΑΙ","ΣΥΖΗΤΗΣΗ"))</f>
        <v/>
      </c>
      <c r="J95" s="11" t="n"/>
      <c r="K95" s="11" t="n"/>
      <c r="L95" s="11" t="n"/>
      <c r="M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30">
        <f>IF(OR(G96="",H96=""),"",IF(G96=H96,"ΝΑΙ","ΣΥΖΗΤΗΣΗ"))</f>
        <v/>
      </c>
      <c r="J96" s="11" t="n"/>
      <c r="K96" s="11" t="n"/>
      <c r="L96" s="11" t="n"/>
      <c r="M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30">
        <f>IF(OR(G97="",H97=""),"",IF(G97=H97,"ΝΑΙ","ΣΥΖΗΤΗΣΗ"))</f>
        <v/>
      </c>
      <c r="J97" s="11" t="n"/>
      <c r="K97" s="11" t="n"/>
      <c r="L97" s="11" t="n"/>
      <c r="M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30">
        <f>IF(OR(G98="",H98=""),"",IF(G98=H98,"ΝΑΙ","ΣΥΖΗΤΗΣΗ"))</f>
        <v/>
      </c>
      <c r="J98" s="11" t="n"/>
      <c r="K98" s="11" t="n"/>
      <c r="L98" s="11" t="n"/>
      <c r="M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30">
        <f>IF(OR(G99="",H99=""),"",IF(G99=H99,"ΝΑΙ","ΣΥΖΗΤΗΣΗ"))</f>
        <v/>
      </c>
      <c r="J99" s="11" t="n"/>
      <c r="K99" s="11" t="n"/>
      <c r="L99" s="11" t="n"/>
      <c r="M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30">
        <f>IF(OR(G100="",H100=""),"",IF(G100=H100,"ΝΑΙ","ΣΥΖΗΤΗΣΗ"))</f>
        <v/>
      </c>
      <c r="J100" s="11" t="n"/>
      <c r="K100" s="11" t="n"/>
      <c r="L100" s="11" t="n"/>
      <c r="M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30">
        <f>IF(OR(G101="",H101=""),"",IF(G101=H101,"ΝΑΙ","ΣΥΖΗΤΗΣΗ"))</f>
        <v/>
      </c>
      <c r="J101" s="11" t="n"/>
      <c r="K101" s="11" t="n"/>
      <c r="L101" s="11" t="n"/>
      <c r="M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30">
        <f>IF(OR(G102="",H102=""),"",IF(G102=H102,"ΝΑΙ","ΣΥΖΗΤΗΣΗ"))</f>
        <v/>
      </c>
      <c r="J102" s="11" t="n"/>
      <c r="K102" s="11" t="n"/>
      <c r="L102" s="11" t="n"/>
      <c r="M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30">
        <f>IF(OR(G103="",H103=""),"",IF(G103=H103,"ΝΑΙ","ΣΥΖΗΤΗΣΗ"))</f>
        <v/>
      </c>
      <c r="J103" s="11" t="n"/>
      <c r="K103" s="11" t="n"/>
      <c r="L103" s="11" t="n"/>
      <c r="M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30">
        <f>IF(OR(G104="",H104=""),"",IF(G104=H104,"ΝΑΙ","ΣΥΖΗΤΗΣΗ"))</f>
        <v/>
      </c>
      <c r="J104" s="11" t="n"/>
      <c r="K104" s="11" t="n"/>
      <c r="L104" s="11" t="n"/>
      <c r="M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30">
        <f>IF(OR(G105="",H105=""),"",IF(G105=H105,"ΝΑΙ","ΣΥΖΗΤΗΣΗ"))</f>
        <v/>
      </c>
      <c r="J105" s="11" t="n"/>
      <c r="K105" s="11" t="n"/>
      <c r="L105" s="11" t="n"/>
      <c r="M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30">
        <f>IF(OR(G106="",H106=""),"",IF(G106=H106,"ΝΑΙ","ΣΥΖΗΤΗΣΗ"))</f>
        <v/>
      </c>
      <c r="J106" s="11" t="n"/>
      <c r="K106" s="11" t="n"/>
      <c r="L106" s="11" t="n"/>
      <c r="M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30">
        <f>IF(OR(G107="",H107=""),"",IF(G107=H107,"ΝΑΙ","ΣΥΖΗΤΗΣΗ"))</f>
        <v/>
      </c>
      <c r="J107" s="11" t="n"/>
      <c r="K107" s="11" t="n"/>
      <c r="L107" s="11" t="n"/>
      <c r="M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30">
        <f>IF(OR(G108="",H108=""),"",IF(G108=H108,"ΝΑΙ","ΣΥΖΗΤΗΣΗ"))</f>
        <v/>
      </c>
      <c r="J108" s="11" t="n"/>
      <c r="K108" s="11" t="n"/>
      <c r="L108" s="11" t="n"/>
      <c r="M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30">
        <f>IF(OR(G109="",H109=""),"",IF(G109=H109,"ΝΑΙ","ΣΥΖΗΤΗΣΗ"))</f>
        <v/>
      </c>
      <c r="J109" s="11" t="n"/>
      <c r="K109" s="11" t="n"/>
      <c r="L109" s="11" t="n"/>
      <c r="M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30">
        <f>IF(OR(G110="",H110=""),"",IF(G110=H110,"ΝΑΙ","ΣΥΖΗΤΗΣΗ"))</f>
        <v/>
      </c>
      <c r="J110" s="11" t="n"/>
      <c r="K110" s="11" t="n"/>
      <c r="L110" s="11" t="n"/>
      <c r="M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30">
        <f>IF(OR(G111="",H111=""),"",IF(G111=H111,"ΝΑΙ","ΣΥΖΗΤΗΣΗ"))</f>
        <v/>
      </c>
      <c r="J111" s="11" t="n"/>
      <c r="K111" s="11" t="n"/>
      <c r="L111" s="11" t="n"/>
      <c r="M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30">
        <f>IF(OR(G112="",H112=""),"",IF(G112=H112,"ΝΑΙ","ΣΥΖΗΤΗΣΗ"))</f>
        <v/>
      </c>
      <c r="J112" s="11" t="n"/>
      <c r="K112" s="11" t="n"/>
      <c r="L112" s="11" t="n"/>
      <c r="M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30">
        <f>IF(OR(G113="",H113=""),"",IF(G113=H113,"ΝΑΙ","ΣΥΖΗΤΗΣΗ"))</f>
        <v/>
      </c>
      <c r="J113" s="11" t="n"/>
      <c r="K113" s="11" t="n"/>
      <c r="L113" s="11" t="n"/>
      <c r="M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30">
        <f>IF(OR(G114="",H114=""),"",IF(G114=H114,"ΝΑΙ","ΣΥΖΗΤΗΣΗ"))</f>
        <v/>
      </c>
      <c r="J114" s="11" t="n"/>
      <c r="K114" s="11" t="n"/>
      <c r="L114" s="11" t="n"/>
      <c r="M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30">
        <f>IF(OR(G115="",H115=""),"",IF(G115=H115,"ΝΑΙ","ΣΥΖΗΤΗΣΗ"))</f>
        <v/>
      </c>
      <c r="J115" s="11" t="n"/>
      <c r="K115" s="11" t="n"/>
      <c r="L115" s="11" t="n"/>
      <c r="M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30">
        <f>IF(OR(G116="",H116=""),"",IF(G116=H116,"ΝΑΙ","ΣΥΖΗΤΗΣΗ"))</f>
        <v/>
      </c>
      <c r="J116" s="11" t="n"/>
      <c r="K116" s="11" t="n"/>
      <c r="L116" s="11" t="n"/>
      <c r="M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30">
        <f>IF(OR(G117="",H117=""),"",IF(G117=H117,"ΝΑΙ","ΣΥΖΗΤΗΣΗ"))</f>
        <v/>
      </c>
      <c r="J117" s="11" t="n"/>
      <c r="K117" s="11" t="n"/>
      <c r="L117" s="11" t="n"/>
      <c r="M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30">
        <f>IF(OR(G118="",H118=""),"",IF(G118=H118,"ΝΑΙ","ΣΥΖΗΤΗΣΗ"))</f>
        <v/>
      </c>
      <c r="J118" s="11" t="n"/>
      <c r="K118" s="11" t="n"/>
      <c r="L118" s="11" t="n"/>
      <c r="M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30">
        <f>IF(OR(G119="",H119=""),"",IF(G119=H119,"ΝΑΙ","ΣΥΖΗΤΗΣΗ"))</f>
        <v/>
      </c>
      <c r="J119" s="11" t="n"/>
      <c r="K119" s="11" t="n"/>
      <c r="L119" s="11" t="n"/>
      <c r="M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30">
        <f>IF(OR(G120="",H120=""),"",IF(G120=H120,"ΝΑΙ","ΣΥΖΗΤΗΣΗ"))</f>
        <v/>
      </c>
      <c r="J120" s="11" t="n"/>
      <c r="K120" s="11" t="n"/>
      <c r="L120" s="11" t="n"/>
      <c r="M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30">
        <f>IF(OR(G121="",H121=""),"",IF(G121=H121,"ΝΑΙ","ΣΥΖΗΤΗΣΗ"))</f>
        <v/>
      </c>
      <c r="J121" s="11" t="n"/>
      <c r="K121" s="11" t="n"/>
      <c r="L121" s="11" t="n"/>
      <c r="M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30">
        <f>IF(OR(G122="",H122=""),"",IF(G122=H122,"ΝΑΙ","ΣΥΖΗΤΗΣΗ"))</f>
        <v/>
      </c>
      <c r="J122" s="11" t="n"/>
      <c r="K122" s="11" t="n"/>
      <c r="L122" s="11" t="n"/>
      <c r="M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30">
        <f>IF(OR(G123="",H123=""),"",IF(G123=H123,"ΝΑΙ","ΣΥΖΗΤΗΣΗ"))</f>
        <v/>
      </c>
      <c r="J123" s="11" t="n"/>
      <c r="K123" s="11" t="n"/>
      <c r="L123" s="11" t="n"/>
      <c r="M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30">
        <f>IF(OR(G124="",H124=""),"",IF(G124=H124,"ΝΑΙ","ΣΥΖΗΤΗΣΗ"))</f>
        <v/>
      </c>
      <c r="J124" s="11" t="n"/>
      <c r="K124" s="11" t="n"/>
      <c r="L124" s="11" t="n"/>
      <c r="M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30">
        <f>IF(OR(G125="",H125=""),"",IF(G125=H125,"ΝΑΙ","ΣΥΖΗΤΗΣΗ"))</f>
        <v/>
      </c>
      <c r="J125" s="11" t="n"/>
      <c r="K125" s="11" t="n"/>
      <c r="L125" s="11" t="n"/>
      <c r="M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30">
        <f>IF(OR(G126="",H126=""),"",IF(G126=H126,"ΝΑΙ","ΣΥΖΗΤΗΣΗ"))</f>
        <v/>
      </c>
      <c r="J126" s="11" t="n"/>
      <c r="K126" s="11" t="n"/>
      <c r="L126" s="11" t="n"/>
      <c r="M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30">
        <f>IF(OR(G127="",H127=""),"",IF(G127=H127,"ΝΑΙ","ΣΥΖΗΤΗΣΗ"))</f>
        <v/>
      </c>
      <c r="J127" s="11" t="n"/>
      <c r="K127" s="11" t="n"/>
      <c r="L127" s="11" t="n"/>
      <c r="M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30">
        <f>IF(OR(G128="",H128=""),"",IF(G128=H128,"ΝΑΙ","ΣΥΖΗΤΗΣΗ"))</f>
        <v/>
      </c>
      <c r="J128" s="11" t="n"/>
      <c r="K128" s="11" t="n"/>
      <c r="L128" s="11" t="n"/>
      <c r="M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30">
        <f>IF(OR(G129="",H129=""),"",IF(G129=H129,"ΝΑΙ","ΣΥΖΗΤΗΣΗ"))</f>
        <v/>
      </c>
      <c r="J129" s="11" t="n"/>
      <c r="K129" s="11" t="n"/>
      <c r="L129" s="11" t="n"/>
      <c r="M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30">
        <f>IF(OR(G130="",H130=""),"",IF(G130=H130,"ΝΑΙ","ΣΥΖΗΤΗΣΗ"))</f>
        <v/>
      </c>
      <c r="J130" s="11" t="n"/>
      <c r="K130" s="11" t="n"/>
      <c r="L130" s="11" t="n"/>
      <c r="M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30">
        <f>IF(OR(G131="",H131=""),"",IF(G131=H131,"ΝΑΙ","ΣΥΖΗΤΗΣΗ"))</f>
        <v/>
      </c>
      <c r="J131" s="11" t="n"/>
      <c r="K131" s="11" t="n"/>
      <c r="L131" s="11" t="n"/>
      <c r="M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30">
        <f>IF(OR(G132="",H132=""),"",IF(G132=H132,"ΝΑΙ","ΣΥΖΗΤΗΣΗ"))</f>
        <v/>
      </c>
      <c r="J132" s="11" t="n"/>
      <c r="K132" s="11" t="n"/>
      <c r="L132" s="11" t="n"/>
      <c r="M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30">
        <f>IF(OR(G133="",H133=""),"",IF(G133=H133,"ΝΑΙ","ΣΥΖΗΤΗΣΗ"))</f>
        <v/>
      </c>
      <c r="J133" s="11" t="n"/>
      <c r="K133" s="11" t="n"/>
      <c r="L133" s="11" t="n"/>
      <c r="M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30">
        <f>IF(OR(G134="",H134=""),"",IF(G134=H134,"ΝΑΙ","ΣΥΖΗΤΗΣΗ"))</f>
        <v/>
      </c>
      <c r="J134" s="11" t="n"/>
      <c r="K134" s="11" t="n"/>
      <c r="L134" s="11" t="n"/>
      <c r="M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30">
        <f>IF(OR(G135="",H135=""),"",IF(G135=H135,"ΝΑΙ","ΣΥΖΗΤΗΣΗ"))</f>
        <v/>
      </c>
      <c r="J135" s="11" t="n"/>
      <c r="K135" s="11" t="n"/>
      <c r="L135" s="11" t="n"/>
      <c r="M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30">
        <f>IF(OR(G136="",H136=""),"",IF(G136=H136,"ΝΑΙ","ΣΥΖΗΤΗΣΗ"))</f>
        <v/>
      </c>
      <c r="J136" s="11" t="n"/>
      <c r="K136" s="11" t="n"/>
      <c r="L136" s="11" t="n"/>
      <c r="M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30">
        <f>IF(OR(G137="",H137=""),"",IF(G137=H137,"ΝΑΙ","ΣΥΖΗΤΗΣΗ"))</f>
        <v/>
      </c>
      <c r="J137" s="11" t="n"/>
      <c r="K137" s="11" t="n"/>
      <c r="L137" s="11" t="n"/>
      <c r="M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30">
        <f>IF(OR(G138="",H138=""),"",IF(G138=H138,"ΝΑΙ","ΣΥΖΗΤΗΣΗ"))</f>
        <v/>
      </c>
      <c r="J138" s="11" t="n"/>
      <c r="K138" s="11" t="n"/>
      <c r="L138" s="11" t="n"/>
      <c r="M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30">
        <f>IF(OR(G139="",H139=""),"",IF(G139=H139,"ΝΑΙ","ΣΥΖΗΤΗΣΗ"))</f>
        <v/>
      </c>
      <c r="J139" s="11" t="n"/>
      <c r="K139" s="11" t="n"/>
      <c r="L139" s="11" t="n"/>
      <c r="M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30">
        <f>IF(OR(G140="",H140=""),"",IF(G140=H140,"ΝΑΙ","ΣΥΖΗΤΗΣΗ"))</f>
        <v/>
      </c>
      <c r="J140" s="11" t="n"/>
      <c r="K140" s="11" t="n"/>
      <c r="L140" s="11" t="n"/>
      <c r="M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30">
        <f>IF(OR(G141="",H141=""),"",IF(G141=H141,"ΝΑΙ","ΣΥΖΗΤΗΣΗ"))</f>
        <v/>
      </c>
      <c r="J141" s="11" t="n"/>
      <c r="K141" s="11" t="n"/>
      <c r="L141" s="11" t="n"/>
      <c r="M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30">
        <f>IF(OR(G142="",H142=""),"",IF(G142=H142,"ΝΑΙ","ΣΥΖΗΤΗΣΗ"))</f>
        <v/>
      </c>
      <c r="J142" s="11" t="n"/>
      <c r="K142" s="11" t="n"/>
      <c r="L142" s="11" t="n"/>
      <c r="M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30">
        <f>IF(OR(G143="",H143=""),"",IF(G143=H143,"ΝΑΙ","ΣΥΖΗΤΗΣΗ"))</f>
        <v/>
      </c>
      <c r="J143" s="11" t="n"/>
      <c r="K143" s="11" t="n"/>
      <c r="L143" s="11" t="n"/>
      <c r="M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30">
        <f>IF(OR(G144="",H144=""),"",IF(G144=H144,"ΝΑΙ","ΣΥΖΗΤΗΣΗ"))</f>
        <v/>
      </c>
      <c r="J144" s="11" t="n"/>
      <c r="K144" s="11" t="n"/>
      <c r="L144" s="11" t="n"/>
      <c r="M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30">
        <f>IF(OR(G145="",H145=""),"",IF(G145=H145,"ΝΑΙ","ΣΥΖΗΤΗΣΗ"))</f>
        <v/>
      </c>
      <c r="J145" s="11" t="n"/>
      <c r="K145" s="11" t="n"/>
      <c r="L145" s="11" t="n"/>
      <c r="M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30">
        <f>IF(OR(G146="",H146=""),"",IF(G146=H146,"ΝΑΙ","ΣΥΖΗΤΗΣΗ"))</f>
        <v/>
      </c>
      <c r="J146" s="11" t="n"/>
      <c r="K146" s="11" t="n"/>
      <c r="L146" s="11" t="n"/>
      <c r="M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30">
        <f>IF(OR(G147="",H147=""),"",IF(G147=H147,"ΝΑΙ","ΣΥΖΗΤΗΣΗ"))</f>
        <v/>
      </c>
      <c r="J147" s="11" t="n"/>
      <c r="K147" s="11" t="n"/>
      <c r="L147" s="11" t="n"/>
      <c r="M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30">
        <f>IF(OR(G148="",H148=""),"",IF(G148=H148,"ΝΑΙ","ΣΥΖΗΤΗΣΗ"))</f>
        <v/>
      </c>
      <c r="J148" s="11" t="n"/>
      <c r="K148" s="11" t="n"/>
      <c r="L148" s="11" t="n"/>
      <c r="M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30">
        <f>IF(OR(G149="",H149=""),"",IF(G149=H149,"ΝΑΙ","ΣΥΖΗΤΗΣΗ"))</f>
        <v/>
      </c>
      <c r="J149" s="11" t="n"/>
      <c r="K149" s="11" t="n"/>
      <c r="L149" s="11" t="n"/>
      <c r="M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30">
        <f>IF(OR(G150="",H150=""),"",IF(G150=H150,"ΝΑΙ","ΣΥΖΗΤΗΣΗ"))</f>
        <v/>
      </c>
      <c r="J150" s="11" t="n"/>
      <c r="K150" s="11" t="n"/>
      <c r="L150" s="11" t="n"/>
      <c r="M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30">
        <f>IF(OR(G151="",H151=""),"",IF(G151=H151,"ΝΑΙ","ΣΥΖΗΤΗΣΗ"))</f>
        <v/>
      </c>
      <c r="J151" s="11" t="n"/>
      <c r="K151" s="11" t="n"/>
      <c r="L151" s="11" t="n"/>
      <c r="M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30">
        <f>IF(OR(G152="",H152=""),"",IF(G152=H152,"ΝΑΙ","ΣΥΖΗΤΗΣΗ"))</f>
        <v/>
      </c>
      <c r="J152" s="11" t="n"/>
      <c r="K152" s="11" t="n"/>
      <c r="L152" s="11" t="n"/>
      <c r="M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30">
        <f>IF(OR(G153="",H153=""),"",IF(G153=H153,"ΝΑΙ","ΣΥΖΗΤΗΣΗ"))</f>
        <v/>
      </c>
      <c r="J153" s="11" t="n"/>
      <c r="K153" s="11" t="n"/>
      <c r="L153" s="11" t="n"/>
      <c r="M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30">
        <f>IF(OR(G154="",H154=""),"",IF(G154=H154,"ΝΑΙ","ΣΥΖΗΤΗΣΗ"))</f>
        <v/>
      </c>
      <c r="J154" s="11" t="n"/>
      <c r="K154" s="11" t="n"/>
      <c r="L154" s="11" t="n"/>
      <c r="M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30">
        <f>IF(OR(G155="",H155=""),"",IF(G155=H155,"ΝΑΙ","ΣΥΖΗΤΗΣΗ"))</f>
        <v/>
      </c>
      <c r="J155" s="11" t="n"/>
      <c r="K155" s="11" t="n"/>
      <c r="L155" s="11" t="n"/>
      <c r="M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30">
        <f>IF(OR(G156="",H156=""),"",IF(G156=H156,"ΝΑΙ","ΣΥΖΗΤΗΣΗ"))</f>
        <v/>
      </c>
      <c r="J156" s="11" t="n"/>
      <c r="K156" s="11" t="n"/>
      <c r="L156" s="11" t="n"/>
      <c r="M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30">
        <f>IF(OR(G157="",H157=""),"",IF(G157=H157,"ΝΑΙ","ΣΥΖΗΤΗΣΗ"))</f>
        <v/>
      </c>
      <c r="J157" s="11" t="n"/>
      <c r="K157" s="11" t="n"/>
      <c r="L157" s="11" t="n"/>
      <c r="M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30">
        <f>IF(OR(G158="",H158=""),"",IF(G158=H158,"ΝΑΙ","ΣΥΖΗΤΗΣΗ"))</f>
        <v/>
      </c>
      <c r="J158" s="11" t="n"/>
      <c r="K158" s="11" t="n"/>
      <c r="L158" s="11" t="n"/>
      <c r="M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30">
        <f>IF(OR(G159="",H159=""),"",IF(G159=H159,"ΝΑΙ","ΣΥΖΗΤΗΣΗ"))</f>
        <v/>
      </c>
      <c r="J159" s="11" t="n"/>
      <c r="K159" s="11" t="n"/>
      <c r="L159" s="11" t="n"/>
      <c r="M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30">
        <f>IF(OR(G160="",H160=""),"",IF(G160=H160,"ΝΑΙ","ΣΥΖΗΤΗΣΗ"))</f>
        <v/>
      </c>
      <c r="J160" s="11" t="n"/>
      <c r="K160" s="11" t="n"/>
      <c r="L160" s="11" t="n"/>
      <c r="M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30">
        <f>IF(OR(G161="",H161=""),"",IF(G161=H161,"ΝΑΙ","ΣΥΖΗΤΗΣΗ"))</f>
        <v/>
      </c>
      <c r="J161" s="11" t="n"/>
      <c r="K161" s="11" t="n"/>
      <c r="L161" s="11" t="n"/>
      <c r="M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30">
        <f>IF(OR(G162="",H162=""),"",IF(G162=H162,"ΝΑΙ","ΣΥΖΗΤΗΣΗ"))</f>
        <v/>
      </c>
      <c r="J162" s="11" t="n"/>
      <c r="K162" s="11" t="n"/>
      <c r="L162" s="11" t="n"/>
      <c r="M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30">
        <f>IF(OR(G163="",H163=""),"",IF(G163=H163,"ΝΑΙ","ΣΥΖΗΤΗΣΗ"))</f>
        <v/>
      </c>
      <c r="J163" s="11" t="n"/>
      <c r="K163" s="11" t="n"/>
      <c r="L163" s="11" t="n"/>
      <c r="M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30">
        <f>IF(OR(G164="",H164=""),"",IF(G164=H164,"ΝΑΙ","ΣΥΖΗΤΗΣΗ"))</f>
        <v/>
      </c>
      <c r="J164" s="11" t="n"/>
      <c r="K164" s="11" t="n"/>
      <c r="L164" s="11" t="n"/>
      <c r="M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30">
        <f>IF(OR(G165="",H165=""),"",IF(G165=H165,"ΝΑΙ","ΣΥΖΗΤΗΣΗ"))</f>
        <v/>
      </c>
      <c r="J165" s="11" t="n"/>
      <c r="K165" s="11" t="n"/>
      <c r="L165" s="11" t="n"/>
      <c r="M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30">
        <f>IF(OR(G166="",H166=""),"",IF(G166=H166,"ΝΑΙ","ΣΥΖΗΤΗΣΗ"))</f>
        <v/>
      </c>
      <c r="J166" s="11" t="n"/>
      <c r="K166" s="11" t="n"/>
      <c r="L166" s="11" t="n"/>
      <c r="M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30">
        <f>IF(OR(G167="",H167=""),"",IF(G167=H167,"ΝΑΙ","ΣΥΖΗΤΗΣΗ"))</f>
        <v/>
      </c>
      <c r="J167" s="11" t="n"/>
      <c r="K167" s="11" t="n"/>
      <c r="L167" s="11" t="n"/>
      <c r="M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30">
        <f>IF(OR(G168="",H168=""),"",IF(G168=H168,"ΝΑΙ","ΣΥΖΗΤΗΣΗ"))</f>
        <v/>
      </c>
      <c r="J168" s="11" t="n"/>
      <c r="K168" s="11" t="n"/>
      <c r="L168" s="11" t="n"/>
      <c r="M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30">
        <f>IF(OR(G169="",H169=""),"",IF(G169=H169,"ΝΑΙ","ΣΥΖΗΤΗΣΗ"))</f>
        <v/>
      </c>
      <c r="J169" s="11" t="n"/>
      <c r="K169" s="11" t="n"/>
      <c r="L169" s="11" t="n"/>
      <c r="M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30">
        <f>IF(OR(G170="",H170=""),"",IF(G170=H170,"ΝΑΙ","ΣΥΖΗΤΗΣΗ"))</f>
        <v/>
      </c>
      <c r="J170" s="11" t="n"/>
      <c r="K170" s="11" t="n"/>
      <c r="L170" s="11" t="n"/>
      <c r="M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30">
        <f>IF(OR(G171="",H171=""),"",IF(G171=H171,"ΝΑΙ","ΣΥΖΗΤΗΣΗ"))</f>
        <v/>
      </c>
      <c r="J171" s="11" t="n"/>
      <c r="K171" s="11" t="n"/>
      <c r="L171" s="11" t="n"/>
      <c r="M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30">
        <f>IF(OR(G172="",H172=""),"",IF(G172=H172,"ΝΑΙ","ΣΥΖΗΤΗΣΗ"))</f>
        <v/>
      </c>
      <c r="J172" s="11" t="n"/>
      <c r="K172" s="11" t="n"/>
      <c r="L172" s="11" t="n"/>
      <c r="M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30">
        <f>IF(OR(G173="",H173=""),"",IF(G173=H173,"ΝΑΙ","ΣΥΖΗΤΗΣΗ"))</f>
        <v/>
      </c>
      <c r="J173" s="11" t="n"/>
      <c r="K173" s="11" t="n"/>
      <c r="L173" s="11" t="n"/>
      <c r="M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30">
        <f>IF(OR(G174="",H174=""),"",IF(G174=H174,"ΝΑΙ","ΣΥΖΗΤΗΣΗ"))</f>
        <v/>
      </c>
      <c r="J174" s="11" t="n"/>
      <c r="K174" s="11" t="n"/>
      <c r="L174" s="11" t="n"/>
      <c r="M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30">
        <f>IF(OR(G175="",H175=""),"",IF(G175=H175,"ΝΑΙ","ΣΥΖΗΤΗΣΗ"))</f>
        <v/>
      </c>
      <c r="J175" s="11" t="n"/>
      <c r="K175" s="11" t="n"/>
      <c r="L175" s="11" t="n"/>
      <c r="M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30">
        <f>IF(OR(G176="",H176=""),"",IF(G176=H176,"ΝΑΙ","ΣΥΖΗΤΗΣΗ"))</f>
        <v/>
      </c>
      <c r="J176" s="11" t="n"/>
      <c r="K176" s="11" t="n"/>
      <c r="L176" s="11" t="n"/>
      <c r="M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30">
        <f>IF(OR(G177="",H177=""),"",IF(G177=H177,"ΝΑΙ","ΣΥΖΗΤΗΣΗ"))</f>
        <v/>
      </c>
      <c r="J177" s="11" t="n"/>
      <c r="K177" s="11" t="n"/>
      <c r="L177" s="11" t="n"/>
      <c r="M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30">
        <f>IF(OR(G178="",H178=""),"",IF(G178=H178,"ΝΑΙ","ΣΥΖΗΤΗΣΗ"))</f>
        <v/>
      </c>
      <c r="J178" s="11" t="n"/>
      <c r="K178" s="11" t="n"/>
      <c r="L178" s="11" t="n"/>
      <c r="M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30">
        <f>IF(OR(G179="",H179=""),"",IF(G179=H179,"ΝΑΙ","ΣΥΖΗΤΗΣΗ"))</f>
        <v/>
      </c>
      <c r="J179" s="11" t="n"/>
      <c r="K179" s="11" t="n"/>
      <c r="L179" s="11" t="n"/>
      <c r="M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30">
        <f>IF(OR(G180="",H180=""),"",IF(G180=H180,"ΝΑΙ","ΣΥΖΗΤΗΣΗ"))</f>
        <v/>
      </c>
      <c r="J180" s="11" t="n"/>
      <c r="K180" s="11" t="n"/>
      <c r="L180" s="11" t="n"/>
      <c r="M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30">
        <f>IF(OR(G181="",H181=""),"",IF(G181=H181,"ΝΑΙ","ΣΥΖΗΤΗΣΗ"))</f>
        <v/>
      </c>
      <c r="J181" s="11" t="n"/>
      <c r="K181" s="11" t="n"/>
      <c r="L181" s="11" t="n"/>
      <c r="M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30">
        <f>IF(OR(G182="",H182=""),"",IF(G182=H182,"ΝΑΙ","ΣΥΖΗΤΗΣΗ"))</f>
        <v/>
      </c>
      <c r="J182" s="11" t="n"/>
      <c r="K182" s="11" t="n"/>
      <c r="L182" s="11" t="n"/>
      <c r="M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30">
        <f>IF(OR(G183="",H183=""),"",IF(G183=H183,"ΝΑΙ","ΣΥΖΗΤΗΣΗ"))</f>
        <v/>
      </c>
      <c r="J183" s="11" t="n"/>
      <c r="K183" s="11" t="n"/>
      <c r="L183" s="11" t="n"/>
      <c r="M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30">
        <f>IF(OR(G184="",H184=""),"",IF(G184=H184,"ΝΑΙ","ΣΥΖΗΤΗΣΗ"))</f>
        <v/>
      </c>
      <c r="J184" s="11" t="n"/>
      <c r="K184" s="11" t="n"/>
      <c r="L184" s="11" t="n"/>
      <c r="M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30">
        <f>IF(OR(G185="",H185=""),"",IF(G185=H185,"ΝΑΙ","ΣΥΖΗΤΗΣΗ"))</f>
        <v/>
      </c>
      <c r="J185" s="11" t="n"/>
      <c r="K185" s="11" t="n"/>
      <c r="L185" s="11" t="n"/>
      <c r="M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30">
        <f>IF(OR(G186="",H186=""),"",IF(G186=H186,"ΝΑΙ","ΣΥΖΗΤΗΣΗ"))</f>
        <v/>
      </c>
      <c r="J186" s="11" t="n"/>
      <c r="K186" s="11" t="n"/>
      <c r="L186" s="11" t="n"/>
      <c r="M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30">
        <f>IF(OR(G187="",H187=""),"",IF(G187=H187,"ΝΑΙ","ΣΥΖΗΤΗΣΗ"))</f>
        <v/>
      </c>
      <c r="J187" s="11" t="n"/>
      <c r="K187" s="11" t="n"/>
      <c r="L187" s="11" t="n"/>
      <c r="M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30">
        <f>IF(OR(G188="",H188=""),"",IF(G188=H188,"ΝΑΙ","ΣΥΖΗΤΗΣΗ"))</f>
        <v/>
      </c>
      <c r="J188" s="11" t="n"/>
      <c r="K188" s="11" t="n"/>
      <c r="L188" s="11" t="n"/>
      <c r="M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30">
        <f>IF(OR(G189="",H189=""),"",IF(G189=H189,"ΝΑΙ","ΣΥΖΗΤΗΣΗ"))</f>
        <v/>
      </c>
      <c r="J189" s="11" t="n"/>
      <c r="K189" s="11" t="n"/>
      <c r="L189" s="11" t="n"/>
      <c r="M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30">
        <f>IF(OR(G190="",H190=""),"",IF(G190=H190,"ΝΑΙ","ΣΥΖΗΤΗΣΗ"))</f>
        <v/>
      </c>
      <c r="J190" s="11" t="n"/>
      <c r="K190" s="11" t="n"/>
      <c r="L190" s="11" t="n"/>
      <c r="M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30">
        <f>IF(OR(G191="",H191=""),"",IF(G191=H191,"ΝΑΙ","ΣΥΖΗΤΗΣΗ"))</f>
        <v/>
      </c>
      <c r="J191" s="11" t="n"/>
      <c r="K191" s="11" t="n"/>
      <c r="L191" s="11" t="n"/>
      <c r="M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30">
        <f>IF(OR(G192="",H192=""),"",IF(G192=H192,"ΝΑΙ","ΣΥΖΗΤΗΣΗ"))</f>
        <v/>
      </c>
      <c r="J192" s="11" t="n"/>
      <c r="K192" s="11" t="n"/>
      <c r="L192" s="11" t="n"/>
      <c r="M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30">
        <f>IF(OR(G193="",H193=""),"",IF(G193=H193,"ΝΑΙ","ΣΥΖΗΤΗΣΗ"))</f>
        <v/>
      </c>
      <c r="J193" s="11" t="n"/>
      <c r="K193" s="11" t="n"/>
      <c r="L193" s="11" t="n"/>
      <c r="M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30">
        <f>IF(OR(G194="",H194=""),"",IF(G194=H194,"ΝΑΙ","ΣΥΖΗΤΗΣΗ"))</f>
        <v/>
      </c>
      <c r="J194" s="11" t="n"/>
      <c r="K194" s="11" t="n"/>
      <c r="L194" s="11" t="n"/>
      <c r="M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30">
        <f>IF(OR(G195="",H195=""),"",IF(G195=H195,"ΝΑΙ","ΣΥΖΗΤΗΣΗ"))</f>
        <v/>
      </c>
      <c r="J195" s="11" t="n"/>
      <c r="K195" s="11" t="n"/>
      <c r="L195" s="11" t="n"/>
      <c r="M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30">
        <f>IF(OR(G196="",H196=""),"",IF(G196=H196,"ΝΑΙ","ΣΥΖΗΤΗΣΗ"))</f>
        <v/>
      </c>
      <c r="J196" s="11" t="n"/>
      <c r="K196" s="11" t="n"/>
      <c r="L196" s="11" t="n"/>
      <c r="M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30">
        <f>IF(OR(G197="",H197=""),"",IF(G197=H197,"ΝΑΙ","ΣΥΖΗΤΗΣΗ"))</f>
        <v/>
      </c>
      <c r="J197" s="11" t="n"/>
      <c r="K197" s="11" t="n"/>
      <c r="L197" s="11" t="n"/>
      <c r="M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30">
        <f>IF(OR(G198="",H198=""),"",IF(G198=H198,"ΝΑΙ","ΣΥΖΗΤΗΣΗ"))</f>
        <v/>
      </c>
      <c r="J198" s="11" t="n"/>
      <c r="K198" s="11" t="n"/>
      <c r="L198" s="11" t="n"/>
      <c r="M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30">
        <f>IF(OR(G199="",H199=""),"",IF(G199=H199,"ΝΑΙ","ΣΥΖΗΤΗΣΗ"))</f>
        <v/>
      </c>
      <c r="J199" s="11" t="n"/>
      <c r="K199" s="11" t="n"/>
      <c r="L199" s="11" t="n"/>
      <c r="M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30">
        <f>IF(OR(G200="",H200=""),"",IF(G200=H200,"ΝΑΙ","ΣΥΖΗΤΗΣΗ"))</f>
        <v/>
      </c>
      <c r="J200" s="11" t="n"/>
      <c r="K200" s="11" t="n"/>
      <c r="L200" s="11" t="n"/>
      <c r="M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30">
        <f>IF(OR(G201="",H201=""),"",IF(G201=H201,"ΝΑΙ","ΣΥΖΗΤΗΣΗ"))</f>
        <v/>
      </c>
      <c r="J201" s="11" t="n"/>
      <c r="K201" s="11" t="n"/>
      <c r="L201" s="11" t="n"/>
      <c r="M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30">
        <f>IF(OR(G202="",H202=""),"",IF(G202=H202,"ΝΑΙ","ΣΥΖΗΤΗΣΗ"))</f>
        <v/>
      </c>
      <c r="J202" s="11" t="n"/>
      <c r="K202" s="11" t="n"/>
      <c r="L202" s="11" t="n"/>
      <c r="M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30">
        <f>IF(OR(G203="",H203=""),"",IF(G203=H203,"ΝΑΙ","ΣΥΖΗΤΗΣΗ"))</f>
        <v/>
      </c>
      <c r="J203" s="11" t="n"/>
      <c r="K203" s="11" t="n"/>
      <c r="L203" s="11" t="n"/>
      <c r="M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30">
        <f>IF(OR(G204="",H204=""),"",IF(G204=H204,"ΝΑΙ","ΣΥΖΗΤΗΣΗ"))</f>
        <v/>
      </c>
      <c r="J204" s="11" t="n"/>
      <c r="K204" s="11" t="n"/>
      <c r="L204" s="11" t="n"/>
      <c r="M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30">
        <f>IF(OR(G205="",H205=""),"",IF(G205=H205,"ΝΑΙ","ΣΥΖΗΤΗΣΗ"))</f>
        <v/>
      </c>
      <c r="J205" s="11" t="n"/>
      <c r="K205" s="11" t="n"/>
      <c r="L205" s="11" t="n"/>
      <c r="M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30">
        <f>IF(OR(G206="",H206=""),"",IF(G206=H206,"ΝΑΙ","ΣΥΖΗΤΗΣΗ"))</f>
        <v/>
      </c>
      <c r="J206" s="11" t="n"/>
      <c r="K206" s="11" t="n"/>
      <c r="L206" s="11" t="n"/>
      <c r="M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30">
        <f>IF(OR(G207="",H207=""),"",IF(G207=H207,"ΝΑΙ","ΣΥΖΗΤΗΣΗ"))</f>
        <v/>
      </c>
      <c r="J207" s="11" t="n"/>
      <c r="K207" s="11" t="n"/>
      <c r="L207" s="11" t="n"/>
      <c r="M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30">
        <f>IF(OR(G208="",H208=""),"",IF(G208=H208,"ΝΑΙ","ΣΥΖΗΤΗΣΗ"))</f>
        <v/>
      </c>
      <c r="J208" s="11" t="n"/>
      <c r="K208" s="11" t="n"/>
      <c r="L208" s="11" t="n"/>
      <c r="M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30">
        <f>IF(OR(G209="",H209=""),"",IF(G209=H209,"ΝΑΙ","ΣΥΖΗΤΗΣΗ"))</f>
        <v/>
      </c>
      <c r="J209" s="11" t="n"/>
      <c r="K209" s="11" t="n"/>
      <c r="L209" s="11" t="n"/>
      <c r="M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30">
        <f>IF(OR(G210="",H210=""),"",IF(G210=H210,"ΝΑΙ","ΣΥΖΗΤΗΣΗ"))</f>
        <v/>
      </c>
      <c r="J210" s="11" t="n"/>
      <c r="K210" s="11" t="n"/>
      <c r="L210" s="11" t="n"/>
      <c r="M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30">
        <f>IF(OR(G211="",H211=""),"",IF(G211=H211,"ΝΑΙ","ΣΥΖΗΤΗΣΗ"))</f>
        <v/>
      </c>
      <c r="J211" s="11" t="n"/>
      <c r="K211" s="11" t="n"/>
      <c r="L211" s="11" t="n"/>
      <c r="M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30">
        <f>IF(OR(G212="",H212=""),"",IF(G212=H212,"ΝΑΙ","ΣΥΖΗΤΗΣΗ"))</f>
        <v/>
      </c>
      <c r="J212" s="11" t="n"/>
      <c r="K212" s="11" t="n"/>
      <c r="L212" s="11" t="n"/>
      <c r="M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30">
        <f>IF(OR(G213="",H213=""),"",IF(G213=H213,"ΝΑΙ","ΣΥΖΗΤΗΣΗ"))</f>
        <v/>
      </c>
      <c r="J213" s="11" t="n"/>
      <c r="K213" s="11" t="n"/>
      <c r="L213" s="11" t="n"/>
      <c r="M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30">
        <f>IF(OR(G214="",H214=""),"",IF(G214=H214,"ΝΑΙ","ΣΥΖΗΤΗΣΗ"))</f>
        <v/>
      </c>
      <c r="J214" s="11" t="n"/>
      <c r="K214" s="11" t="n"/>
      <c r="L214" s="11" t="n"/>
      <c r="M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30">
        <f>IF(OR(G215="",H215=""),"",IF(G215=H215,"ΝΑΙ","ΣΥΖΗΤΗΣΗ"))</f>
        <v/>
      </c>
      <c r="J215" s="11" t="n"/>
      <c r="K215" s="11" t="n"/>
      <c r="L215" s="11" t="n"/>
      <c r="M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30">
        <f>IF(OR(G216="",H216=""),"",IF(G216=H216,"ΝΑΙ","ΣΥΖΗΤΗΣΗ"))</f>
        <v/>
      </c>
      <c r="J216" s="11" t="n"/>
      <c r="K216" s="11" t="n"/>
      <c r="L216" s="11" t="n"/>
      <c r="M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30">
        <f>IF(OR(G217="",H217=""),"",IF(G217=H217,"ΝΑΙ","ΣΥΖΗΤΗΣΗ"))</f>
        <v/>
      </c>
      <c r="J217" s="11" t="n"/>
      <c r="K217" s="11" t="n"/>
      <c r="L217" s="11" t="n"/>
      <c r="M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30">
        <f>IF(OR(G218="",H218=""),"",IF(G218=H218,"ΝΑΙ","ΣΥΖΗΤΗΣΗ"))</f>
        <v/>
      </c>
      <c r="J218" s="11" t="n"/>
      <c r="K218" s="11" t="n"/>
      <c r="L218" s="11" t="n"/>
      <c r="M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30">
        <f>IF(OR(G219="",H219=""),"",IF(G219=H219,"ΝΑΙ","ΣΥΖΗΤΗΣΗ"))</f>
        <v/>
      </c>
      <c r="J219" s="11" t="n"/>
      <c r="K219" s="11" t="n"/>
      <c r="L219" s="11" t="n"/>
      <c r="M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30">
        <f>IF(OR(G220="",H220=""),"",IF(G220=H220,"ΝΑΙ","ΣΥΖΗΤΗΣΗ"))</f>
        <v/>
      </c>
      <c r="J220" s="11" t="n"/>
      <c r="K220" s="11" t="n"/>
      <c r="L220" s="11" t="n"/>
      <c r="M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30">
        <f>IF(OR(G221="",H221=""),"",IF(G221=H221,"ΝΑΙ","ΣΥΖΗΤΗΣΗ"))</f>
        <v/>
      </c>
      <c r="J221" s="11" t="n"/>
      <c r="K221" s="11" t="n"/>
      <c r="L221" s="11" t="n"/>
      <c r="M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30">
        <f>IF(OR(G222="",H222=""),"",IF(G222=H222,"ΝΑΙ","ΣΥΖΗΤΗΣΗ"))</f>
        <v/>
      </c>
      <c r="J222" s="11" t="n"/>
      <c r="K222" s="11" t="n"/>
      <c r="L222" s="11" t="n"/>
      <c r="M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30">
        <f>IF(OR(G223="",H223=""),"",IF(G223=H223,"ΝΑΙ","ΣΥΖΗΤΗΣΗ"))</f>
        <v/>
      </c>
      <c r="J223" s="11" t="n"/>
      <c r="K223" s="11" t="n"/>
      <c r="L223" s="11" t="n"/>
      <c r="M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30">
        <f>IF(OR(G224="",H224=""),"",IF(G224=H224,"ΝΑΙ","ΣΥΖΗΤΗΣΗ"))</f>
        <v/>
      </c>
      <c r="J224" s="11" t="n"/>
      <c r="K224" s="11" t="n"/>
      <c r="L224" s="11" t="n"/>
      <c r="M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30">
        <f>IF(OR(G225="",H225=""),"",IF(G225=H225,"ΝΑΙ","ΣΥΖΗΤΗΣΗ"))</f>
        <v/>
      </c>
      <c r="J225" s="11" t="n"/>
      <c r="K225" s="11" t="n"/>
      <c r="L225" s="11" t="n"/>
      <c r="M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30">
        <f>IF(OR(G226="",H226=""),"",IF(G226=H226,"ΝΑΙ","ΣΥΖΗΤΗΣΗ"))</f>
        <v/>
      </c>
      <c r="J226" s="11" t="n"/>
      <c r="K226" s="11" t="n"/>
      <c r="L226" s="11" t="n"/>
      <c r="M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30">
        <f>IF(OR(G227="",H227=""),"",IF(G227=H227,"ΝΑΙ","ΣΥΖΗΤΗΣΗ"))</f>
        <v/>
      </c>
      <c r="J227" s="11" t="n"/>
      <c r="K227" s="11" t="n"/>
      <c r="L227" s="11" t="n"/>
      <c r="M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30">
        <f>IF(OR(G228="",H228=""),"",IF(G228=H228,"ΝΑΙ","ΣΥΖΗΤΗΣΗ"))</f>
        <v/>
      </c>
      <c r="J228" s="11" t="n"/>
      <c r="K228" s="11" t="n"/>
      <c r="L228" s="11" t="n"/>
      <c r="M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30">
        <f>IF(OR(G229="",H229=""),"",IF(G229=H229,"ΝΑΙ","ΣΥΖΗΤΗΣΗ"))</f>
        <v/>
      </c>
      <c r="J229" s="11" t="n"/>
      <c r="K229" s="11" t="n"/>
      <c r="L229" s="11" t="n"/>
      <c r="M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30">
        <f>IF(OR(G230="",H230=""),"",IF(G230=H230,"ΝΑΙ","ΣΥΖΗΤΗΣΗ"))</f>
        <v/>
      </c>
      <c r="J230" s="11" t="n"/>
      <c r="K230" s="11" t="n"/>
      <c r="L230" s="11" t="n"/>
      <c r="M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30">
        <f>IF(OR(G231="",H231=""),"",IF(G231=H231,"ΝΑΙ","ΣΥΖΗΤΗΣΗ"))</f>
        <v/>
      </c>
      <c r="J231" s="11" t="n"/>
      <c r="K231" s="11" t="n"/>
      <c r="L231" s="11" t="n"/>
      <c r="M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30">
        <f>IF(OR(G232="",H232=""),"",IF(G232=H232,"ΝΑΙ","ΣΥΖΗΤΗΣΗ"))</f>
        <v/>
      </c>
      <c r="J232" s="11" t="n"/>
      <c r="K232" s="11" t="n"/>
      <c r="L232" s="11" t="n"/>
      <c r="M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30">
        <f>IF(OR(G233="",H233=""),"",IF(G233=H233,"ΝΑΙ","ΣΥΖΗΤΗΣΗ"))</f>
        <v/>
      </c>
      <c r="J233" s="11" t="n"/>
      <c r="K233" s="11" t="n"/>
      <c r="L233" s="11" t="n"/>
      <c r="M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30">
        <f>IF(OR(G234="",H234=""),"",IF(G234=H234,"ΝΑΙ","ΣΥΖΗΤΗΣΗ"))</f>
        <v/>
      </c>
      <c r="J234" s="11" t="n"/>
      <c r="K234" s="11" t="n"/>
      <c r="L234" s="11" t="n"/>
      <c r="M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30">
        <f>IF(OR(G235="",H235=""),"",IF(G235=H235,"ΝΑΙ","ΣΥΖΗΤΗΣΗ"))</f>
        <v/>
      </c>
      <c r="J235" s="11" t="n"/>
      <c r="K235" s="11" t="n"/>
      <c r="L235" s="11" t="n"/>
      <c r="M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30">
        <f>IF(OR(G236="",H236=""),"",IF(G236=H236,"ΝΑΙ","ΣΥΖΗΤΗΣΗ"))</f>
        <v/>
      </c>
      <c r="J236" s="11" t="n"/>
      <c r="K236" s="11" t="n"/>
      <c r="L236" s="11" t="n"/>
      <c r="M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30">
        <f>IF(OR(G237="",H237=""),"",IF(G237=H237,"ΝΑΙ","ΣΥΖΗΤΗΣΗ"))</f>
        <v/>
      </c>
      <c r="J237" s="11" t="n"/>
      <c r="K237" s="11" t="n"/>
      <c r="L237" s="11" t="n"/>
      <c r="M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30">
        <f>IF(OR(G238="",H238=""),"",IF(G238=H238,"ΝΑΙ","ΣΥΖΗΤΗΣΗ"))</f>
        <v/>
      </c>
      <c r="J238" s="11" t="n"/>
      <c r="K238" s="11" t="n"/>
      <c r="L238" s="11" t="n"/>
      <c r="M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30">
        <f>IF(OR(G239="",H239=""),"",IF(G239=H239,"ΝΑΙ","ΣΥΖΗΤΗΣΗ"))</f>
        <v/>
      </c>
      <c r="J239" s="11" t="n"/>
      <c r="K239" s="11" t="n"/>
      <c r="L239" s="11" t="n"/>
      <c r="M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30">
        <f>IF(OR(G240="",H240=""),"",IF(G240=H240,"ΝΑΙ","ΣΥΖΗΤΗΣΗ"))</f>
        <v/>
      </c>
      <c r="J240" s="11" t="n"/>
      <c r="K240" s="11" t="n"/>
      <c r="L240" s="11" t="n"/>
      <c r="M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30">
        <f>IF(OR(G241="",H241=""),"",IF(G241=H241,"ΝΑΙ","ΣΥΖΗΤΗΣΗ"))</f>
        <v/>
      </c>
      <c r="J241" s="11" t="n"/>
      <c r="K241" s="11" t="n"/>
      <c r="L241" s="11" t="n"/>
      <c r="M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30">
        <f>IF(OR(G242="",H242=""),"",IF(G242=H242,"ΝΑΙ","ΣΥΖΗΤΗΣΗ"))</f>
        <v/>
      </c>
      <c r="J242" s="11" t="n"/>
      <c r="K242" s="11" t="n"/>
      <c r="L242" s="11" t="n"/>
      <c r="M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30">
        <f>IF(OR(G243="",H243=""),"",IF(G243=H243,"ΝΑΙ","ΣΥΖΗΤΗΣΗ"))</f>
        <v/>
      </c>
      <c r="J243" s="11" t="n"/>
      <c r="K243" s="11" t="n"/>
      <c r="L243" s="11" t="n"/>
      <c r="M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30">
        <f>IF(OR(G244="",H244=""),"",IF(G244=H244,"ΝΑΙ","ΣΥΖΗΤΗΣΗ"))</f>
        <v/>
      </c>
      <c r="J244" s="11" t="n"/>
      <c r="K244" s="11" t="n"/>
      <c r="L244" s="11" t="n"/>
      <c r="M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30">
        <f>IF(OR(G245="",H245=""),"",IF(G245=H245,"ΝΑΙ","ΣΥΖΗΤΗΣΗ"))</f>
        <v/>
      </c>
      <c r="J245" s="11" t="n"/>
      <c r="K245" s="11" t="n"/>
      <c r="L245" s="11" t="n"/>
      <c r="M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30">
        <f>IF(OR(G246="",H246=""),"",IF(G246=H246,"ΝΑΙ","ΣΥΖΗΤΗΣΗ"))</f>
        <v/>
      </c>
      <c r="J246" s="11" t="n"/>
      <c r="K246" s="11" t="n"/>
      <c r="L246" s="11" t="n"/>
      <c r="M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30">
        <f>IF(OR(G247="",H247=""),"",IF(G247=H247,"ΝΑΙ","ΣΥΖΗΤΗΣΗ"))</f>
        <v/>
      </c>
      <c r="J247" s="11" t="n"/>
      <c r="K247" s="11" t="n"/>
      <c r="L247" s="11" t="n"/>
      <c r="M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30">
        <f>IF(OR(G248="",H248=""),"",IF(G248=H248,"ΝΑΙ","ΣΥΖΗΤΗΣΗ"))</f>
        <v/>
      </c>
      <c r="J248" s="11" t="n"/>
      <c r="K248" s="11" t="n"/>
      <c r="L248" s="11" t="n"/>
      <c r="M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30">
        <f>IF(OR(G249="",H249=""),"",IF(G249=H249,"ΝΑΙ","ΣΥΖΗΤΗΣΗ"))</f>
        <v/>
      </c>
      <c r="J249" s="11" t="n"/>
      <c r="K249" s="11" t="n"/>
      <c r="L249" s="11" t="n"/>
      <c r="M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30">
        <f>IF(OR(G250="",H250=""),"",IF(G250=H250,"ΝΑΙ","ΣΥΖΗΤΗΣΗ"))</f>
        <v/>
      </c>
      <c r="J250" s="11" t="n"/>
      <c r="K250" s="11" t="n"/>
      <c r="L250" s="11" t="n"/>
      <c r="M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30">
        <f>IF(OR(G251="",H251=""),"",IF(G251=H251,"ΝΑΙ","ΣΥΖΗΤΗΣΗ"))</f>
        <v/>
      </c>
      <c r="J251" s="11" t="n"/>
      <c r="K251" s="11" t="n"/>
      <c r="L251" s="11" t="n"/>
      <c r="M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30">
        <f>IF(OR(G252="",H252=""),"",IF(G252=H252,"ΝΑΙ","ΣΥΖΗΤΗΣΗ"))</f>
        <v/>
      </c>
      <c r="J252" s="11" t="n"/>
      <c r="K252" s="11" t="n"/>
      <c r="L252" s="11" t="n"/>
      <c r="M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30">
        <f>IF(OR(G253="",H253=""),"",IF(G253=H253,"ΝΑΙ","ΣΥΖΗΤΗΣΗ"))</f>
        <v/>
      </c>
      <c r="J253" s="11" t="n"/>
      <c r="K253" s="11" t="n"/>
      <c r="L253" s="11" t="n"/>
      <c r="M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30">
        <f>IF(OR(G254="",H254=""),"",IF(G254=H254,"ΝΑΙ","ΣΥΖΗΤΗΣΗ"))</f>
        <v/>
      </c>
      <c r="J254" s="11" t="n"/>
      <c r="K254" s="11" t="n"/>
      <c r="L254" s="11" t="n"/>
      <c r="M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30">
        <f>IF(OR(G255="",H255=""),"",IF(G255=H255,"ΝΑΙ","ΣΥΖΗΤΗΣΗ"))</f>
        <v/>
      </c>
      <c r="J255" s="11" t="n"/>
      <c r="K255" s="11" t="n"/>
      <c r="L255" s="11" t="n"/>
      <c r="M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30">
        <f>IF(OR(G256="",H256=""),"",IF(G256=H256,"ΝΑΙ","ΣΥΖΗΤΗΣΗ"))</f>
        <v/>
      </c>
      <c r="J256" s="11" t="n"/>
      <c r="K256" s="11" t="n"/>
      <c r="L256" s="11" t="n"/>
      <c r="M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30">
        <f>IF(OR(G257="",H257=""),"",IF(G257=H257,"ΝΑΙ","ΣΥΖΗΤΗΣΗ"))</f>
        <v/>
      </c>
      <c r="J257" s="11" t="n"/>
      <c r="K257" s="11" t="n"/>
      <c r="L257" s="11" t="n"/>
      <c r="M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30">
        <f>IF(OR(G258="",H258=""),"",IF(G258=H258,"ΝΑΙ","ΣΥΖΗΤΗΣΗ"))</f>
        <v/>
      </c>
      <c r="J258" s="11" t="n"/>
      <c r="K258" s="11" t="n"/>
      <c r="L258" s="11" t="n"/>
      <c r="M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30">
        <f>IF(OR(G259="",H259=""),"",IF(G259=H259,"ΝΑΙ","ΣΥΖΗΤΗΣΗ"))</f>
        <v/>
      </c>
      <c r="J259" s="11" t="n"/>
      <c r="K259" s="11" t="n"/>
      <c r="L259" s="11" t="n"/>
      <c r="M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30">
        <f>IF(OR(G260="",H260=""),"",IF(G260=H260,"ΝΑΙ","ΣΥΖΗΤΗΣΗ"))</f>
        <v/>
      </c>
      <c r="J260" s="11" t="n"/>
      <c r="K260" s="11" t="n"/>
      <c r="L260" s="11" t="n"/>
      <c r="M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30">
        <f>IF(OR(G261="",H261=""),"",IF(G261=H261,"ΝΑΙ","ΣΥΖΗΤΗΣΗ"))</f>
        <v/>
      </c>
      <c r="J261" s="11" t="n"/>
      <c r="K261" s="11" t="n"/>
      <c r="L261" s="11" t="n"/>
      <c r="M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30">
        <f>IF(OR(G262="",H262=""),"",IF(G262=H262,"ΝΑΙ","ΣΥΖΗΤΗΣΗ"))</f>
        <v/>
      </c>
      <c r="J262" s="11" t="n"/>
      <c r="K262" s="11" t="n"/>
      <c r="L262" s="11" t="n"/>
      <c r="M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30">
        <f>IF(OR(G263="",H263=""),"",IF(G263=H263,"ΝΑΙ","ΣΥΖΗΤΗΣΗ"))</f>
        <v/>
      </c>
      <c r="J263" s="11" t="n"/>
      <c r="K263" s="11" t="n"/>
      <c r="L263" s="11" t="n"/>
      <c r="M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30">
        <f>IF(OR(G264="",H264=""),"",IF(G264=H264,"ΝΑΙ","ΣΥΖΗΤΗΣΗ"))</f>
        <v/>
      </c>
      <c r="J264" s="11" t="n"/>
      <c r="K264" s="11" t="n"/>
      <c r="L264" s="11" t="n"/>
      <c r="M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30">
        <f>IF(OR(G265="",H265=""),"",IF(G265=H265,"ΝΑΙ","ΣΥΖΗΤΗΣΗ"))</f>
        <v/>
      </c>
      <c r="J265" s="11" t="n"/>
      <c r="K265" s="11" t="n"/>
      <c r="L265" s="11" t="n"/>
      <c r="M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30">
        <f>IF(OR(G266="",H266=""),"",IF(G266=H266,"ΝΑΙ","ΣΥΖΗΤΗΣΗ"))</f>
        <v/>
      </c>
      <c r="J266" s="11" t="n"/>
      <c r="K266" s="11" t="n"/>
      <c r="L266" s="11" t="n"/>
      <c r="M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30">
        <f>IF(OR(G267="",H267=""),"",IF(G267=H267,"ΝΑΙ","ΣΥΖΗΤΗΣΗ"))</f>
        <v/>
      </c>
      <c r="J267" s="11" t="n"/>
      <c r="K267" s="11" t="n"/>
      <c r="L267" s="11" t="n"/>
      <c r="M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30">
        <f>IF(OR(G268="",H268=""),"",IF(G268=H268,"ΝΑΙ","ΣΥΖΗΤΗΣΗ"))</f>
        <v/>
      </c>
      <c r="J268" s="11" t="n"/>
      <c r="K268" s="11" t="n"/>
      <c r="L268" s="11" t="n"/>
      <c r="M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30">
        <f>IF(OR(G269="",H269=""),"",IF(G269=H269,"ΝΑΙ","ΣΥΖΗΤΗΣΗ"))</f>
        <v/>
      </c>
      <c r="J269" s="11" t="n"/>
      <c r="K269" s="11" t="n"/>
      <c r="L269" s="11" t="n"/>
      <c r="M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30">
        <f>IF(OR(G270="",H270=""),"",IF(G270=H270,"ΝΑΙ","ΣΥΖΗΤΗΣΗ"))</f>
        <v/>
      </c>
      <c r="J270" s="11" t="n"/>
      <c r="K270" s="11" t="n"/>
      <c r="L270" s="11" t="n"/>
      <c r="M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30">
        <f>IF(OR(G271="",H271=""),"",IF(G271=H271,"ΝΑΙ","ΣΥΖΗΤΗΣΗ"))</f>
        <v/>
      </c>
      <c r="J271" s="11" t="n"/>
      <c r="K271" s="11" t="n"/>
      <c r="L271" s="11" t="n"/>
      <c r="M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30">
        <f>IF(OR(G272="",H272=""),"",IF(G272=H272,"ΝΑΙ","ΣΥΖΗΤΗΣΗ"))</f>
        <v/>
      </c>
      <c r="J272" s="11" t="n"/>
      <c r="K272" s="11" t="n"/>
      <c r="L272" s="11" t="n"/>
      <c r="M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30">
        <f>IF(OR(G273="",H273=""),"",IF(G273=H273,"ΝΑΙ","ΣΥΖΗΤΗΣΗ"))</f>
        <v/>
      </c>
      <c r="J273" s="11" t="n"/>
      <c r="K273" s="11" t="n"/>
      <c r="L273" s="11" t="n"/>
      <c r="M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30">
        <f>IF(OR(G274="",H274=""),"",IF(G274=H274,"ΝΑΙ","ΣΥΖΗΤΗΣΗ"))</f>
        <v/>
      </c>
      <c r="J274" s="11" t="n"/>
      <c r="K274" s="11" t="n"/>
      <c r="L274" s="11" t="n"/>
      <c r="M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30">
        <f>IF(OR(G275="",H275=""),"",IF(G275=H275,"ΝΑΙ","ΣΥΖΗΤΗΣΗ"))</f>
        <v/>
      </c>
      <c r="J275" s="11" t="n"/>
      <c r="K275" s="11" t="n"/>
      <c r="L275" s="11" t="n"/>
      <c r="M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30">
        <f>IF(OR(G276="",H276=""),"",IF(G276=H276,"ΝΑΙ","ΣΥΖΗΤΗΣΗ"))</f>
        <v/>
      </c>
      <c r="J276" s="11" t="n"/>
      <c r="K276" s="11" t="n"/>
      <c r="L276" s="11" t="n"/>
      <c r="M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30">
        <f>IF(OR(G277="",H277=""),"",IF(G277=H277,"ΝΑΙ","ΣΥΖΗΤΗΣΗ"))</f>
        <v/>
      </c>
      <c r="J277" s="11" t="n"/>
      <c r="K277" s="11" t="n"/>
      <c r="L277" s="11" t="n"/>
      <c r="M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30">
        <f>IF(OR(G278="",H278=""),"",IF(G278=H278,"ΝΑΙ","ΣΥΖΗΤΗΣΗ"))</f>
        <v/>
      </c>
      <c r="J278" s="11" t="n"/>
      <c r="K278" s="11" t="n"/>
      <c r="L278" s="11" t="n"/>
      <c r="M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30">
        <f>IF(OR(G279="",H279=""),"",IF(G279=H279,"ΝΑΙ","ΣΥΖΗΤΗΣΗ"))</f>
        <v/>
      </c>
      <c r="J279" s="11" t="n"/>
      <c r="K279" s="11" t="n"/>
      <c r="L279" s="11" t="n"/>
      <c r="M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30">
        <f>IF(OR(G280="",H280=""),"",IF(G280=H280,"ΝΑΙ","ΣΥΖΗΤΗΣΗ"))</f>
        <v/>
      </c>
      <c r="J280" s="11" t="n"/>
      <c r="K280" s="11" t="n"/>
      <c r="L280" s="11" t="n"/>
      <c r="M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30">
        <f>IF(OR(G281="",H281=""),"",IF(G281=H281,"ΝΑΙ","ΣΥΖΗΤΗΣΗ"))</f>
        <v/>
      </c>
      <c r="J281" s="11" t="n"/>
      <c r="K281" s="11" t="n"/>
      <c r="L281" s="11" t="n"/>
      <c r="M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30">
        <f>IF(OR(G282="",H282=""),"",IF(G282=H282,"ΝΑΙ","ΣΥΖΗΤΗΣΗ"))</f>
        <v/>
      </c>
      <c r="J282" s="11" t="n"/>
      <c r="K282" s="11" t="n"/>
      <c r="L282" s="11" t="n"/>
      <c r="M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30">
        <f>IF(OR(G283="",H283=""),"",IF(G283=H283,"ΝΑΙ","ΣΥΖΗΤΗΣΗ"))</f>
        <v/>
      </c>
      <c r="J283" s="11" t="n"/>
      <c r="K283" s="11" t="n"/>
      <c r="L283" s="11" t="n"/>
      <c r="M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30">
        <f>IF(OR(G284="",H284=""),"",IF(G284=H284,"ΝΑΙ","ΣΥΖΗΤΗΣΗ"))</f>
        <v/>
      </c>
      <c r="J284" s="11" t="n"/>
      <c r="K284" s="11" t="n"/>
      <c r="L284" s="11" t="n"/>
      <c r="M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30">
        <f>IF(OR(G285="",H285=""),"",IF(G285=H285,"ΝΑΙ","ΣΥΖΗΤΗΣΗ"))</f>
        <v/>
      </c>
      <c r="J285" s="11" t="n"/>
      <c r="K285" s="11" t="n"/>
      <c r="L285" s="11" t="n"/>
      <c r="M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30">
        <f>IF(OR(G286="",H286=""),"",IF(G286=H286,"ΝΑΙ","ΣΥΖΗΤΗΣΗ"))</f>
        <v/>
      </c>
      <c r="J286" s="11" t="n"/>
      <c r="K286" s="11" t="n"/>
      <c r="L286" s="11" t="n"/>
      <c r="M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30">
        <f>IF(OR(G287="",H287=""),"",IF(G287=H287,"ΝΑΙ","ΣΥΖΗΤΗΣΗ"))</f>
        <v/>
      </c>
      <c r="J287" s="11" t="n"/>
      <c r="K287" s="11" t="n"/>
      <c r="L287" s="11" t="n"/>
      <c r="M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30">
        <f>IF(OR(G288="",H288=""),"",IF(G288=H288,"ΝΑΙ","ΣΥΖΗΤΗΣΗ"))</f>
        <v/>
      </c>
      <c r="J288" s="11" t="n"/>
      <c r="K288" s="11" t="n"/>
      <c r="L288" s="11" t="n"/>
      <c r="M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30">
        <f>IF(OR(G289="",H289=""),"",IF(G289=H289,"ΝΑΙ","ΣΥΖΗΤΗΣΗ"))</f>
        <v/>
      </c>
      <c r="J289" s="11" t="n"/>
      <c r="K289" s="11" t="n"/>
      <c r="L289" s="11" t="n"/>
      <c r="M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30">
        <f>IF(OR(G290="",H290=""),"",IF(G290=H290,"ΝΑΙ","ΣΥΖΗΤΗΣΗ"))</f>
        <v/>
      </c>
      <c r="J290" s="11" t="n"/>
      <c r="K290" s="11" t="n"/>
      <c r="L290" s="11" t="n"/>
      <c r="M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30">
        <f>IF(OR(G291="",H291=""),"",IF(G291=H291,"ΝΑΙ","ΣΥΖΗΤΗΣΗ"))</f>
        <v/>
      </c>
      <c r="J291" s="11" t="n"/>
      <c r="K291" s="11" t="n"/>
      <c r="L291" s="11" t="n"/>
      <c r="M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30">
        <f>IF(OR(G292="",H292=""),"",IF(G292=H292,"ΝΑΙ","ΣΥΖΗΤΗΣΗ"))</f>
        <v/>
      </c>
      <c r="J292" s="11" t="n"/>
      <c r="K292" s="11" t="n"/>
      <c r="L292" s="11" t="n"/>
      <c r="M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30">
        <f>IF(OR(G293="",H293=""),"",IF(G293=H293,"ΝΑΙ","ΣΥΖΗΤΗΣΗ"))</f>
        <v/>
      </c>
      <c r="J293" s="11" t="n"/>
      <c r="K293" s="11" t="n"/>
      <c r="L293" s="11" t="n"/>
      <c r="M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30">
        <f>IF(OR(G294="",H294=""),"",IF(G294=H294,"ΝΑΙ","ΣΥΖΗΤΗΣΗ"))</f>
        <v/>
      </c>
      <c r="J294" s="11" t="n"/>
      <c r="K294" s="11" t="n"/>
      <c r="L294" s="11" t="n"/>
      <c r="M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30">
        <f>IF(OR(G295="",H295=""),"",IF(G295=H295,"ΝΑΙ","ΣΥΖΗΤΗΣΗ"))</f>
        <v/>
      </c>
      <c r="J295" s="11" t="n"/>
      <c r="K295" s="11" t="n"/>
      <c r="L295" s="11" t="n"/>
      <c r="M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30">
        <f>IF(OR(G296="",H296=""),"",IF(G296=H296,"ΝΑΙ","ΣΥΖΗΤΗΣΗ"))</f>
        <v/>
      </c>
      <c r="J296" s="11" t="n"/>
      <c r="K296" s="11" t="n"/>
      <c r="L296" s="11" t="n"/>
      <c r="M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30">
        <f>IF(OR(G297="",H297=""),"",IF(G297=H297,"ΝΑΙ","ΣΥΖΗΤΗΣΗ"))</f>
        <v/>
      </c>
      <c r="J297" s="11" t="n"/>
      <c r="K297" s="11" t="n"/>
      <c r="L297" s="11" t="n"/>
      <c r="M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30">
        <f>IF(OR(G298="",H298=""),"",IF(G298=H298,"ΝΑΙ","ΣΥΖΗΤΗΣΗ"))</f>
        <v/>
      </c>
      <c r="J298" s="11" t="n"/>
      <c r="K298" s="11" t="n"/>
      <c r="L298" s="11" t="n"/>
      <c r="M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30">
        <f>IF(OR(G299="",H299=""),"",IF(G299=H299,"ΝΑΙ","ΣΥΖΗΤΗΣΗ"))</f>
        <v/>
      </c>
      <c r="J299" s="11" t="n"/>
      <c r="K299" s="11" t="n"/>
      <c r="L299" s="11" t="n"/>
      <c r="M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30">
        <f>IF(OR(G300="",H300=""),"",IF(G300=H300,"ΝΑΙ","ΣΥΖΗΤΗΣΗ"))</f>
        <v/>
      </c>
      <c r="J300" s="11" t="n"/>
      <c r="K300" s="11" t="n"/>
      <c r="L300" s="11" t="n"/>
      <c r="M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30">
        <f>IF(OR(G301="",H301=""),"",IF(G301=H301,"ΝΑΙ","ΣΥΖΗΤΗΣΗ"))</f>
        <v/>
      </c>
      <c r="J301" s="11" t="n"/>
      <c r="K301" s="11" t="n"/>
      <c r="L301" s="11" t="n"/>
      <c r="M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30">
        <f>IF(OR(G302="",H302=""),"",IF(G302=H302,"ΝΑΙ","ΣΥΖΗΤΗΣΗ"))</f>
        <v/>
      </c>
      <c r="J302" s="11" t="n"/>
      <c r="K302" s="11" t="n"/>
      <c r="L302" s="11" t="n"/>
      <c r="M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30">
        <f>IF(OR(G303="",H303=""),"",IF(G303=H303,"ΝΑΙ","ΣΥΖΗΤΗΣΗ"))</f>
        <v/>
      </c>
      <c r="J303" s="11" t="n"/>
      <c r="K303" s="11" t="n"/>
      <c r="L303" s="11" t="n"/>
      <c r="M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30">
        <f>IF(OR(G304="",H304=""),"",IF(G304=H304,"ΝΑΙ","ΣΥΖΗΤΗΣΗ"))</f>
        <v/>
      </c>
      <c r="J304" s="11" t="n"/>
      <c r="K304" s="11" t="n"/>
      <c r="L304" s="11" t="n"/>
      <c r="M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30">
        <f>IF(OR(G305="",H305=""),"",IF(G305=H305,"ΝΑΙ","ΣΥΖΗΤΗΣΗ"))</f>
        <v/>
      </c>
      <c r="J305" s="11" t="n"/>
      <c r="K305" s="11" t="n"/>
      <c r="L305" s="11" t="n"/>
      <c r="M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30">
        <f>IF(OR(G306="",H306=""),"",IF(G306=H306,"ΝΑΙ","ΣΥΖΗΤΗΣΗ"))</f>
        <v/>
      </c>
      <c r="J306" s="11" t="n"/>
      <c r="K306" s="11" t="n"/>
      <c r="L306" s="11" t="n"/>
      <c r="M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30">
        <f>IF(OR(G307="",H307=""),"",IF(G307=H307,"ΝΑΙ","ΣΥΖΗΤΗΣΗ"))</f>
        <v/>
      </c>
      <c r="J307" s="11" t="n"/>
      <c r="K307" s="11" t="n"/>
      <c r="L307" s="11" t="n"/>
      <c r="M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30">
        <f>IF(OR(G308="",H308=""),"",IF(G308=H308,"ΝΑΙ","ΣΥΖΗΤΗΣΗ"))</f>
        <v/>
      </c>
      <c r="J308" s="11" t="n"/>
      <c r="K308" s="11" t="n"/>
      <c r="L308" s="11" t="n"/>
      <c r="M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30">
        <f>IF(OR(G309="",H309=""),"",IF(G309=H309,"ΝΑΙ","ΣΥΖΗΤΗΣΗ"))</f>
        <v/>
      </c>
      <c r="J309" s="11" t="n"/>
      <c r="K309" s="11" t="n"/>
      <c r="L309" s="11" t="n"/>
      <c r="M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30">
        <f>IF(OR(G310="",H310=""),"",IF(G310=H310,"ΝΑΙ","ΣΥΖΗΤΗΣΗ"))</f>
        <v/>
      </c>
      <c r="J310" s="11" t="n"/>
      <c r="K310" s="11" t="n"/>
      <c r="L310" s="11" t="n"/>
      <c r="M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30">
        <f>IF(OR(G311="",H311=""),"",IF(G311=H311,"ΝΑΙ","ΣΥΖΗΤΗΣΗ"))</f>
        <v/>
      </c>
      <c r="J311" s="11" t="n"/>
      <c r="K311" s="11" t="n"/>
      <c r="L311" s="11" t="n"/>
      <c r="M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30">
        <f>IF(OR(G312="",H312=""),"",IF(G312=H312,"ΝΑΙ","ΣΥΖΗΤΗΣΗ"))</f>
        <v/>
      </c>
      <c r="J312" s="11" t="n"/>
      <c r="K312" s="11" t="n"/>
      <c r="L312" s="11" t="n"/>
      <c r="M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30">
        <f>IF(OR(G313="",H313=""),"",IF(G313=H313,"ΝΑΙ","ΣΥΖΗΤΗΣΗ"))</f>
        <v/>
      </c>
      <c r="J313" s="11" t="n"/>
      <c r="K313" s="11" t="n"/>
      <c r="L313" s="11" t="n"/>
      <c r="M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30">
        <f>IF(OR(G314="",H314=""),"",IF(G314=H314,"ΝΑΙ","ΣΥΖΗΤΗΣΗ"))</f>
        <v/>
      </c>
      <c r="J314" s="11" t="n"/>
      <c r="K314" s="11" t="n"/>
      <c r="L314" s="11" t="n"/>
      <c r="M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30">
        <f>IF(OR(G315="",H315=""),"",IF(G315=H315,"ΝΑΙ","ΣΥΖΗΤΗΣΗ"))</f>
        <v/>
      </c>
      <c r="J315" s="11" t="n"/>
      <c r="K315" s="11" t="n"/>
      <c r="L315" s="11" t="n"/>
      <c r="M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30">
        <f>IF(OR(G316="",H316=""),"",IF(G316=H316,"ΝΑΙ","ΣΥΖΗΤΗΣΗ"))</f>
        <v/>
      </c>
      <c r="J316" s="11" t="n"/>
      <c r="K316" s="11" t="n"/>
      <c r="L316" s="11" t="n"/>
      <c r="M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30">
        <f>IF(OR(G317="",H317=""),"",IF(G317=H317,"ΝΑΙ","ΣΥΖΗΤΗΣΗ"))</f>
        <v/>
      </c>
      <c r="J317" s="11" t="n"/>
      <c r="K317" s="11" t="n"/>
      <c r="L317" s="11" t="n"/>
      <c r="M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30">
        <f>IF(OR(G318="",H318=""),"",IF(G318=H318,"ΝΑΙ","ΣΥΖΗΤΗΣΗ"))</f>
        <v/>
      </c>
      <c r="J318" s="11" t="n"/>
      <c r="K318" s="11" t="n"/>
      <c r="L318" s="11" t="n"/>
      <c r="M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30">
        <f>IF(OR(G319="",H319=""),"",IF(G319=H319,"ΝΑΙ","ΣΥΖΗΤΗΣΗ"))</f>
        <v/>
      </c>
      <c r="J319" s="11" t="n"/>
      <c r="K319" s="11" t="n"/>
      <c r="L319" s="11" t="n"/>
      <c r="M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30">
        <f>IF(OR(G320="",H320=""),"",IF(G320=H320,"ΝΑΙ","ΣΥΖΗΤΗΣΗ"))</f>
        <v/>
      </c>
      <c r="J320" s="11" t="n"/>
      <c r="K320" s="11" t="n"/>
      <c r="L320" s="11" t="n"/>
      <c r="M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30">
        <f>IF(OR(G321="",H321=""),"",IF(G321=H321,"ΝΑΙ","ΣΥΖΗΤΗΣΗ"))</f>
        <v/>
      </c>
      <c r="J321" s="11" t="n"/>
      <c r="K321" s="11" t="n"/>
      <c r="L321" s="11" t="n"/>
      <c r="M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30">
        <f>IF(OR(G322="",H322=""),"",IF(G322=H322,"ΝΑΙ","ΣΥΖΗΤΗΣΗ"))</f>
        <v/>
      </c>
      <c r="J322" s="11" t="n"/>
      <c r="K322" s="11" t="n"/>
      <c r="L322" s="11" t="n"/>
      <c r="M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30">
        <f>IF(OR(G323="",H323=""),"",IF(G323=H323,"ΝΑΙ","ΣΥΖΗΤΗΣΗ"))</f>
        <v/>
      </c>
      <c r="J323" s="11" t="n"/>
      <c r="K323" s="11" t="n"/>
      <c r="L323" s="11" t="n"/>
      <c r="M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30">
        <f>IF(OR(G324="",H324=""),"",IF(G324=H324,"ΝΑΙ","ΣΥΖΗΤΗΣΗ"))</f>
        <v/>
      </c>
      <c r="J324" s="11" t="n"/>
      <c r="K324" s="11" t="n"/>
      <c r="L324" s="11" t="n"/>
      <c r="M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30">
        <f>IF(OR(G325="",H325=""),"",IF(G325=H325,"ΝΑΙ","ΣΥΖΗΤΗΣΗ"))</f>
        <v/>
      </c>
      <c r="J325" s="11" t="n"/>
      <c r="K325" s="11" t="n"/>
      <c r="L325" s="11" t="n"/>
      <c r="M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30">
        <f>IF(OR(G326="",H326=""),"",IF(G326=H326,"ΝΑΙ","ΣΥΖΗΤΗΣΗ"))</f>
        <v/>
      </c>
      <c r="J326" s="11" t="n"/>
      <c r="K326" s="11" t="n"/>
      <c r="L326" s="11" t="n"/>
      <c r="M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30">
        <f>IF(OR(G327="",H327=""),"",IF(G327=H327,"ΝΑΙ","ΣΥΖΗΤΗΣΗ"))</f>
        <v/>
      </c>
      <c r="J327" s="11" t="n"/>
      <c r="K327" s="11" t="n"/>
      <c r="L327" s="11" t="n"/>
      <c r="M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30">
        <f>IF(OR(G328="",H328=""),"",IF(G328=H328,"ΝΑΙ","ΣΥΖΗΤΗΣΗ"))</f>
        <v/>
      </c>
      <c r="J328" s="11" t="n"/>
      <c r="K328" s="11" t="n"/>
      <c r="L328" s="11" t="n"/>
      <c r="M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30">
        <f>IF(OR(G329="",H329=""),"",IF(G329=H329,"ΝΑΙ","ΣΥΖΗΤΗΣΗ"))</f>
        <v/>
      </c>
      <c r="J329" s="11" t="n"/>
      <c r="K329" s="11" t="n"/>
      <c r="L329" s="11" t="n"/>
      <c r="M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30">
        <f>IF(OR(G330="",H330=""),"",IF(G330=H330,"ΝΑΙ","ΣΥΖΗΤΗΣΗ"))</f>
        <v/>
      </c>
      <c r="J330" s="11" t="n"/>
      <c r="K330" s="11" t="n"/>
      <c r="L330" s="11" t="n"/>
      <c r="M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30">
        <f>IF(OR(G331="",H331=""),"",IF(G331=H331,"ΝΑΙ","ΣΥΖΗΤΗΣΗ"))</f>
        <v/>
      </c>
      <c r="J331" s="11" t="n"/>
      <c r="K331" s="11" t="n"/>
      <c r="L331" s="11" t="n"/>
      <c r="M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30">
        <f>IF(OR(G332="",H332=""),"",IF(G332=H332,"ΝΑΙ","ΣΥΖΗΤΗΣΗ"))</f>
        <v/>
      </c>
      <c r="J332" s="11" t="n"/>
      <c r="K332" s="11" t="n"/>
      <c r="L332" s="11" t="n"/>
      <c r="M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30">
        <f>IF(OR(G333="",H333=""),"",IF(G333=H333,"ΝΑΙ","ΣΥΖΗΤΗΣΗ"))</f>
        <v/>
      </c>
      <c r="J333" s="11" t="n"/>
      <c r="K333" s="11" t="n"/>
      <c r="L333" s="11" t="n"/>
      <c r="M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30">
        <f>IF(OR(G334="",H334=""),"",IF(G334=H334,"ΝΑΙ","ΣΥΖΗΤΗΣΗ"))</f>
        <v/>
      </c>
      <c r="J334" s="11" t="n"/>
      <c r="K334" s="11" t="n"/>
      <c r="L334" s="11" t="n"/>
      <c r="M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30">
        <f>IF(OR(G335="",H335=""),"",IF(G335=H335,"ΝΑΙ","ΣΥΖΗΤΗΣΗ"))</f>
        <v/>
      </c>
      <c r="J335" s="11" t="n"/>
      <c r="K335" s="11" t="n"/>
      <c r="L335" s="11" t="n"/>
      <c r="M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30">
        <f>IF(OR(G336="",H336=""),"",IF(G336=H336,"ΝΑΙ","ΣΥΖΗΤΗΣΗ"))</f>
        <v/>
      </c>
      <c r="J336" s="11" t="n"/>
      <c r="K336" s="11" t="n"/>
      <c r="L336" s="11" t="n"/>
      <c r="M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30">
        <f>IF(OR(G337="",H337=""),"",IF(G337=H337,"ΝΑΙ","ΣΥΖΗΤΗΣΗ"))</f>
        <v/>
      </c>
      <c r="J337" s="11" t="n"/>
      <c r="K337" s="11" t="n"/>
      <c r="L337" s="11" t="n"/>
      <c r="M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30">
        <f>IF(OR(G338="",H338=""),"",IF(G338=H338,"ΝΑΙ","ΣΥΖΗΤΗΣΗ"))</f>
        <v/>
      </c>
      <c r="J338" s="11" t="n"/>
      <c r="K338" s="11" t="n"/>
      <c r="L338" s="11" t="n"/>
      <c r="M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30">
        <f>IF(OR(G339="",H339=""),"",IF(G339=H339,"ΝΑΙ","ΣΥΖΗΤΗΣΗ"))</f>
        <v/>
      </c>
      <c r="J339" s="11" t="n"/>
      <c r="K339" s="11" t="n"/>
      <c r="L339" s="11" t="n"/>
      <c r="M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30">
        <f>IF(OR(G340="",H340=""),"",IF(G340=H340,"ΝΑΙ","ΣΥΖΗΤΗΣΗ"))</f>
        <v/>
      </c>
      <c r="J340" s="11" t="n"/>
      <c r="K340" s="11" t="n"/>
      <c r="L340" s="11" t="n"/>
      <c r="M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30">
        <f>IF(OR(G341="",H341=""),"",IF(G341=H341,"ΝΑΙ","ΣΥΖΗΤΗΣΗ"))</f>
        <v/>
      </c>
      <c r="J341" s="11" t="n"/>
      <c r="K341" s="11" t="n"/>
      <c r="L341" s="11" t="n"/>
      <c r="M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30">
        <f>IF(OR(G342="",H342=""),"",IF(G342=H342,"ΝΑΙ","ΣΥΖΗΤΗΣΗ"))</f>
        <v/>
      </c>
      <c r="J342" s="11" t="n"/>
      <c r="K342" s="11" t="n"/>
      <c r="L342" s="11" t="n"/>
      <c r="M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30">
        <f>IF(OR(G343="",H343=""),"",IF(G343=H343,"ΝΑΙ","ΣΥΖΗΤΗΣΗ"))</f>
        <v/>
      </c>
      <c r="J343" s="11" t="n"/>
      <c r="K343" s="11" t="n"/>
      <c r="L343" s="11" t="n"/>
      <c r="M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30">
        <f>IF(OR(G344="",H344=""),"",IF(G344=H344,"ΝΑΙ","ΣΥΖΗΤΗΣΗ"))</f>
        <v/>
      </c>
      <c r="J344" s="11" t="n"/>
      <c r="K344" s="11" t="n"/>
      <c r="L344" s="11" t="n"/>
      <c r="M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30">
        <f>IF(OR(G345="",H345=""),"",IF(G345=H345,"ΝΑΙ","ΣΥΖΗΤΗΣΗ"))</f>
        <v/>
      </c>
      <c r="J345" s="11" t="n"/>
      <c r="K345" s="11" t="n"/>
      <c r="L345" s="11" t="n"/>
      <c r="M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30">
        <f>IF(OR(G346="",H346=""),"",IF(G346=H346,"ΝΑΙ","ΣΥΖΗΤΗΣΗ"))</f>
        <v/>
      </c>
      <c r="J346" s="11" t="n"/>
      <c r="K346" s="11" t="n"/>
      <c r="L346" s="11" t="n"/>
      <c r="M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30">
        <f>IF(OR(G347="",H347=""),"",IF(G347=H347,"ΝΑΙ","ΣΥΖΗΤΗΣΗ"))</f>
        <v/>
      </c>
      <c r="J347" s="11" t="n"/>
      <c r="K347" s="11" t="n"/>
      <c r="L347" s="11" t="n"/>
      <c r="M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30">
        <f>IF(OR(G348="",H348=""),"",IF(G348=H348,"ΝΑΙ","ΣΥΖΗΤΗΣΗ"))</f>
        <v/>
      </c>
      <c r="J348" s="11" t="n"/>
      <c r="K348" s="11" t="n"/>
      <c r="L348" s="11" t="n"/>
      <c r="M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30">
        <f>IF(OR(G349="",H349=""),"",IF(G349=H349,"ΝΑΙ","ΣΥΖΗΤΗΣΗ"))</f>
        <v/>
      </c>
      <c r="J349" s="11" t="n"/>
      <c r="K349" s="11" t="n"/>
      <c r="L349" s="11" t="n"/>
      <c r="M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30">
        <f>IF(OR(G350="",H350=""),"",IF(G350=H350,"ΝΑΙ","ΣΥΖΗΤΗΣΗ"))</f>
        <v/>
      </c>
      <c r="J350" s="11" t="n"/>
      <c r="K350" s="11" t="n"/>
      <c r="L350" s="11" t="n"/>
      <c r="M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30">
        <f>IF(OR(G351="",H351=""),"",IF(G351=H351,"ΝΑΙ","ΣΥΖΗΤΗΣΗ"))</f>
        <v/>
      </c>
      <c r="J351" s="11" t="n"/>
      <c r="K351" s="11" t="n"/>
      <c r="L351" s="11" t="n"/>
      <c r="M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30">
        <f>IF(OR(G352="",H352=""),"",IF(G352=H352,"ΝΑΙ","ΣΥΖΗΤΗΣΗ"))</f>
        <v/>
      </c>
      <c r="J352" s="11" t="n"/>
      <c r="K352" s="11" t="n"/>
      <c r="L352" s="11" t="n"/>
      <c r="M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30">
        <f>IF(OR(G353="",H353=""),"",IF(G353=H353,"ΝΑΙ","ΣΥΖΗΤΗΣΗ"))</f>
        <v/>
      </c>
      <c r="J353" s="11" t="n"/>
      <c r="K353" s="11" t="n"/>
      <c r="L353" s="11" t="n"/>
      <c r="M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30">
        <f>IF(OR(G354="",H354=""),"",IF(G354=H354,"ΝΑΙ","ΣΥΖΗΤΗΣΗ"))</f>
        <v/>
      </c>
      <c r="J354" s="11" t="n"/>
      <c r="K354" s="11" t="n"/>
      <c r="L354" s="11" t="n"/>
      <c r="M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30">
        <f>IF(OR(G355="",H355=""),"",IF(G355=H355,"ΝΑΙ","ΣΥΖΗΤΗΣΗ"))</f>
        <v/>
      </c>
      <c r="J355" s="11" t="n"/>
      <c r="K355" s="11" t="n"/>
      <c r="L355" s="11" t="n"/>
      <c r="M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30">
        <f>IF(OR(G356="",H356=""),"",IF(G356=H356,"ΝΑΙ","ΣΥΖΗΤΗΣΗ"))</f>
        <v/>
      </c>
      <c r="J356" s="11" t="n"/>
      <c r="K356" s="11" t="n"/>
      <c r="L356" s="11" t="n"/>
      <c r="M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30">
        <f>IF(OR(G357="",H357=""),"",IF(G357=H357,"ΝΑΙ","ΣΥΖΗΤΗΣΗ"))</f>
        <v/>
      </c>
      <c r="J357" s="11" t="n"/>
      <c r="K357" s="11" t="n"/>
      <c r="L357" s="11" t="n"/>
      <c r="M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30">
        <f>IF(OR(G358="",H358=""),"",IF(G358=H358,"ΝΑΙ","ΣΥΖΗΤΗΣΗ"))</f>
        <v/>
      </c>
      <c r="J358" s="11" t="n"/>
      <c r="K358" s="11" t="n"/>
      <c r="L358" s="11" t="n"/>
      <c r="M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30">
        <f>IF(OR(G359="",H359=""),"",IF(G359=H359,"ΝΑΙ","ΣΥΖΗΤΗΣΗ"))</f>
        <v/>
      </c>
      <c r="J359" s="11" t="n"/>
      <c r="K359" s="11" t="n"/>
      <c r="L359" s="11" t="n"/>
      <c r="M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30">
        <f>IF(OR(G360="",H360=""),"",IF(G360=H360,"ΝΑΙ","ΣΥΖΗΤΗΣΗ"))</f>
        <v/>
      </c>
      <c r="J360" s="11" t="n"/>
      <c r="K360" s="11" t="n"/>
      <c r="L360" s="11" t="n"/>
      <c r="M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30">
        <f>IF(OR(G361="",H361=""),"",IF(G361=H361,"ΝΑΙ","ΣΥΖΗΤΗΣΗ"))</f>
        <v/>
      </c>
      <c r="J361" s="11" t="n"/>
      <c r="K361" s="11" t="n"/>
      <c r="L361" s="11" t="n"/>
      <c r="M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30">
        <f>IF(OR(G362="",H362=""),"",IF(G362=H362,"ΝΑΙ","ΣΥΖΗΤΗΣΗ"))</f>
        <v/>
      </c>
      <c r="J362" s="11" t="n"/>
      <c r="K362" s="11" t="n"/>
      <c r="L362" s="11" t="n"/>
      <c r="M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30">
        <f>IF(OR(G363="",H363=""),"",IF(G363=H363,"ΝΑΙ","ΣΥΖΗΤΗΣΗ"))</f>
        <v/>
      </c>
      <c r="J363" s="11" t="n"/>
      <c r="K363" s="11" t="n"/>
      <c r="L363" s="11" t="n"/>
      <c r="M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30">
        <f>IF(OR(G364="",H364=""),"",IF(G364=H364,"ΝΑΙ","ΣΥΖΗΤΗΣΗ"))</f>
        <v/>
      </c>
      <c r="J364" s="11" t="n"/>
      <c r="K364" s="11" t="n"/>
      <c r="L364" s="11" t="n"/>
      <c r="M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30">
        <f>IF(OR(G365="",H365=""),"",IF(G365=H365,"ΝΑΙ","ΣΥΖΗΤΗΣΗ"))</f>
        <v/>
      </c>
      <c r="J365" s="11" t="n"/>
      <c r="K365" s="11" t="n"/>
      <c r="L365" s="11" t="n"/>
      <c r="M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30">
        <f>IF(OR(G366="",H366=""),"",IF(G366=H366,"ΝΑΙ","ΣΥΖΗΤΗΣΗ"))</f>
        <v/>
      </c>
      <c r="J366" s="11" t="n"/>
      <c r="K366" s="11" t="n"/>
      <c r="L366" s="11" t="n"/>
      <c r="M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30">
        <f>IF(OR(G367="",H367=""),"",IF(G367=H367,"ΝΑΙ","ΣΥΖΗΤΗΣΗ"))</f>
        <v/>
      </c>
      <c r="J367" s="11" t="n"/>
      <c r="K367" s="11" t="n"/>
      <c r="L367" s="11" t="n"/>
      <c r="M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30">
        <f>IF(OR(G368="",H368=""),"",IF(G368=H368,"ΝΑΙ","ΣΥΖΗΤΗΣΗ"))</f>
        <v/>
      </c>
      <c r="J368" s="11" t="n"/>
      <c r="K368" s="11" t="n"/>
      <c r="L368" s="11" t="n"/>
      <c r="M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30">
        <f>IF(OR(G369="",H369=""),"",IF(G369=H369,"ΝΑΙ","ΣΥΖΗΤΗΣΗ"))</f>
        <v/>
      </c>
      <c r="J369" s="11" t="n"/>
      <c r="K369" s="11" t="n"/>
      <c r="L369" s="11" t="n"/>
      <c r="M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30">
        <f>IF(OR(G370="",H370=""),"",IF(G370=H370,"ΝΑΙ","ΣΥΖΗΤΗΣΗ"))</f>
        <v/>
      </c>
      <c r="J370" s="11" t="n"/>
      <c r="K370" s="11" t="n"/>
      <c r="L370" s="11" t="n"/>
      <c r="M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30">
        <f>IF(OR(G371="",H371=""),"",IF(G371=H371,"ΝΑΙ","ΣΥΖΗΤΗΣΗ"))</f>
        <v/>
      </c>
      <c r="J371" s="11" t="n"/>
      <c r="K371" s="11" t="n"/>
      <c r="L371" s="11" t="n"/>
      <c r="M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30">
        <f>IF(OR(G372="",H372=""),"",IF(G372=H372,"ΝΑΙ","ΣΥΖΗΤΗΣΗ"))</f>
        <v/>
      </c>
      <c r="J372" s="11" t="n"/>
      <c r="K372" s="11" t="n"/>
      <c r="L372" s="11" t="n"/>
      <c r="M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30">
        <f>IF(OR(G373="",H373=""),"",IF(G373=H373,"ΝΑΙ","ΣΥΖΗΤΗΣΗ"))</f>
        <v/>
      </c>
      <c r="J373" s="11" t="n"/>
      <c r="K373" s="11" t="n"/>
      <c r="L373" s="11" t="n"/>
      <c r="M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30">
        <f>IF(OR(G374="",H374=""),"",IF(G374=H374,"ΝΑΙ","ΣΥΖΗΤΗΣΗ"))</f>
        <v/>
      </c>
      <c r="J374" s="11" t="n"/>
      <c r="K374" s="11" t="n"/>
      <c r="L374" s="11" t="n"/>
      <c r="M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30">
        <f>IF(OR(G375="",H375=""),"",IF(G375=H375,"ΝΑΙ","ΣΥΖΗΤΗΣΗ"))</f>
        <v/>
      </c>
      <c r="J375" s="11" t="n"/>
      <c r="K375" s="11" t="n"/>
      <c r="L375" s="11" t="n"/>
      <c r="M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30">
        <f>IF(OR(G376="",H376=""),"",IF(G376=H376,"ΝΑΙ","ΣΥΖΗΤΗΣΗ"))</f>
        <v/>
      </c>
      <c r="J376" s="11" t="n"/>
      <c r="K376" s="11" t="n"/>
      <c r="L376" s="11" t="n"/>
      <c r="M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30">
        <f>IF(OR(G377="",H377=""),"",IF(G377=H377,"ΝΑΙ","ΣΥΖΗΤΗΣΗ"))</f>
        <v/>
      </c>
      <c r="J377" s="11" t="n"/>
      <c r="K377" s="11" t="n"/>
      <c r="L377" s="11" t="n"/>
      <c r="M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30">
        <f>IF(OR(G378="",H378=""),"",IF(G378=H378,"ΝΑΙ","ΣΥΖΗΤΗΣΗ"))</f>
        <v/>
      </c>
      <c r="J378" s="11" t="n"/>
      <c r="K378" s="11" t="n"/>
      <c r="L378" s="11" t="n"/>
      <c r="M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30">
        <f>IF(OR(G379="",H379=""),"",IF(G379=H379,"ΝΑΙ","ΣΥΖΗΤΗΣΗ"))</f>
        <v/>
      </c>
      <c r="J379" s="11" t="n"/>
      <c r="K379" s="11" t="n"/>
      <c r="L379" s="11" t="n"/>
      <c r="M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30">
        <f>IF(OR(G380="",H380=""),"",IF(G380=H380,"ΝΑΙ","ΣΥΖΗΤΗΣΗ"))</f>
        <v/>
      </c>
      <c r="J380" s="11" t="n"/>
      <c r="K380" s="11" t="n"/>
      <c r="L380" s="11" t="n"/>
      <c r="M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30">
        <f>IF(OR(G381="",H381=""),"",IF(G381=H381,"ΝΑΙ","ΣΥΖΗΤΗΣΗ"))</f>
        <v/>
      </c>
      <c r="J381" s="11" t="n"/>
      <c r="K381" s="11" t="n"/>
      <c r="L381" s="11" t="n"/>
      <c r="M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30">
        <f>IF(OR(G382="",H382=""),"",IF(G382=H382,"ΝΑΙ","ΣΥΖΗΤΗΣΗ"))</f>
        <v/>
      </c>
      <c r="J382" s="11" t="n"/>
      <c r="K382" s="11" t="n"/>
      <c r="L382" s="11" t="n"/>
      <c r="M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30">
        <f>IF(OR(G383="",H383=""),"",IF(G383=H383,"ΝΑΙ","ΣΥΖΗΤΗΣΗ"))</f>
        <v/>
      </c>
      <c r="J383" s="11" t="n"/>
      <c r="K383" s="11" t="n"/>
      <c r="L383" s="11" t="n"/>
      <c r="M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30">
        <f>IF(OR(G384="",H384=""),"",IF(G384=H384,"ΝΑΙ","ΣΥΖΗΤΗΣΗ"))</f>
        <v/>
      </c>
      <c r="J384" s="11" t="n"/>
      <c r="K384" s="11" t="n"/>
      <c r="L384" s="11" t="n"/>
      <c r="M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30">
        <f>IF(OR(G385="",H385=""),"",IF(G385=H385,"ΝΑΙ","ΣΥΖΗΤΗΣΗ"))</f>
        <v/>
      </c>
      <c r="J385" s="11" t="n"/>
      <c r="K385" s="11" t="n"/>
      <c r="L385" s="11" t="n"/>
      <c r="M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30">
        <f>IF(OR(G386="",H386=""),"",IF(G386=H386,"ΝΑΙ","ΣΥΖΗΤΗΣΗ"))</f>
        <v/>
      </c>
      <c r="J386" s="11" t="n"/>
      <c r="K386" s="11" t="n"/>
      <c r="L386" s="11" t="n"/>
      <c r="M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30">
        <f>IF(OR(G387="",H387=""),"",IF(G387=H387,"ΝΑΙ","ΣΥΖΗΤΗΣΗ"))</f>
        <v/>
      </c>
      <c r="J387" s="11" t="n"/>
      <c r="K387" s="11" t="n"/>
      <c r="L387" s="11" t="n"/>
      <c r="M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30">
        <f>IF(OR(G388="",H388=""),"",IF(G388=H388,"ΝΑΙ","ΣΥΖΗΤΗΣΗ"))</f>
        <v/>
      </c>
      <c r="J388" s="11" t="n"/>
      <c r="K388" s="11" t="n"/>
      <c r="L388" s="11" t="n"/>
      <c r="M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30">
        <f>IF(OR(G389="",H389=""),"",IF(G389=H389,"ΝΑΙ","ΣΥΖΗΤΗΣΗ"))</f>
        <v/>
      </c>
      <c r="J389" s="11" t="n"/>
      <c r="K389" s="11" t="n"/>
      <c r="L389" s="11" t="n"/>
      <c r="M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30">
        <f>IF(OR(G390="",H390=""),"",IF(G390=H390,"ΝΑΙ","ΣΥΖΗΤΗΣΗ"))</f>
        <v/>
      </c>
      <c r="J390" s="11" t="n"/>
      <c r="K390" s="11" t="n"/>
      <c r="L390" s="11" t="n"/>
      <c r="M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30">
        <f>IF(OR(G391="",H391=""),"",IF(G391=H391,"ΝΑΙ","ΣΥΖΗΤΗΣΗ"))</f>
        <v/>
      </c>
      <c r="J391" s="11" t="n"/>
      <c r="K391" s="11" t="n"/>
      <c r="L391" s="11" t="n"/>
      <c r="M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30">
        <f>IF(OR(G392="",H392=""),"",IF(G392=H392,"ΝΑΙ","ΣΥΖΗΤΗΣΗ"))</f>
        <v/>
      </c>
      <c r="J392" s="11" t="n"/>
      <c r="K392" s="11" t="n"/>
      <c r="L392" s="11" t="n"/>
      <c r="M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30">
        <f>IF(OR(G393="",H393=""),"",IF(G393=H393,"ΝΑΙ","ΣΥΖΗΤΗΣΗ"))</f>
        <v/>
      </c>
      <c r="J393" s="11" t="n"/>
      <c r="K393" s="11" t="n"/>
      <c r="L393" s="11" t="n"/>
      <c r="M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30">
        <f>IF(OR(G394="",H394=""),"",IF(G394=H394,"ΝΑΙ","ΣΥΖΗΤΗΣΗ"))</f>
        <v/>
      </c>
      <c r="J394" s="11" t="n"/>
      <c r="K394" s="11" t="n"/>
      <c r="L394" s="11" t="n"/>
      <c r="M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30">
        <f>IF(OR(G395="",H395=""),"",IF(G395=H395,"ΝΑΙ","ΣΥΖΗΤΗΣΗ"))</f>
        <v/>
      </c>
      <c r="J395" s="11" t="n"/>
      <c r="K395" s="11" t="n"/>
      <c r="L395" s="11" t="n"/>
      <c r="M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30">
        <f>IF(OR(G396="",H396=""),"",IF(G396=H396,"ΝΑΙ","ΣΥΖΗΤΗΣΗ"))</f>
        <v/>
      </c>
      <c r="J396" s="11" t="n"/>
      <c r="K396" s="11" t="n"/>
      <c r="L396" s="11" t="n"/>
      <c r="M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30">
        <f>IF(OR(G397="",H397=""),"",IF(G397=H397,"ΝΑΙ","ΣΥΖΗΤΗΣΗ"))</f>
        <v/>
      </c>
      <c r="J397" s="11" t="n"/>
      <c r="K397" s="11" t="n"/>
      <c r="L397" s="11" t="n"/>
      <c r="M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30">
        <f>IF(OR(G398="",H398=""),"",IF(G398=H398,"ΝΑΙ","ΣΥΖΗΤΗΣΗ"))</f>
        <v/>
      </c>
      <c r="J398" s="11" t="n"/>
      <c r="K398" s="11" t="n"/>
      <c r="L398" s="11" t="n"/>
      <c r="M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30">
        <f>IF(OR(G399="",H399=""),"",IF(G399=H399,"ΝΑΙ","ΣΥΖΗΤΗΣΗ"))</f>
        <v/>
      </c>
      <c r="J399" s="11" t="n"/>
      <c r="K399" s="11" t="n"/>
      <c r="L399" s="11" t="n"/>
      <c r="M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30">
        <f>IF(OR(G400="",H400=""),"",IF(G400=H400,"ΝΑΙ","ΣΥΖΗΤΗΣΗ"))</f>
        <v/>
      </c>
      <c r="J400" s="11" t="n"/>
      <c r="K400" s="11" t="n"/>
      <c r="L400" s="11" t="n"/>
      <c r="M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30">
        <f>IF(OR(G401="",H401=""),"",IF(G401=H401,"ΝΑΙ","ΣΥΖΗΤΗΣΗ"))</f>
        <v/>
      </c>
      <c r="J401" s="11" t="n"/>
      <c r="K401" s="11" t="n"/>
      <c r="L401" s="11" t="n"/>
      <c r="M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30">
        <f>IF(OR(G402="",H402=""),"",IF(G402=H402,"ΝΑΙ","ΣΥΖΗΤΗΣΗ"))</f>
        <v/>
      </c>
      <c r="J402" s="11" t="n"/>
      <c r="K402" s="11" t="n"/>
      <c r="L402" s="11" t="n"/>
      <c r="M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30">
        <f>IF(OR(G403="",H403=""),"",IF(G403=H403,"ΝΑΙ","ΣΥΖΗΤΗΣΗ"))</f>
        <v/>
      </c>
      <c r="J403" s="11" t="n"/>
      <c r="K403" s="11" t="n"/>
      <c r="L403" s="11" t="n"/>
      <c r="M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30">
        <f>IF(OR(G404="",H404=""),"",IF(G404=H404,"ΝΑΙ","ΣΥΖΗΤΗΣΗ"))</f>
        <v/>
      </c>
      <c r="J404" s="11" t="n"/>
      <c r="K404" s="11" t="n"/>
      <c r="L404" s="11" t="n"/>
      <c r="M404" s="11" t="n"/>
    </row>
  </sheetData>
  <dataValidations count="5">
    <dataValidation sqref="F5:F404" showDropDown="0" showInputMessage="0" showErrorMessage="0" allowBlank="1" error="Επιλέξτε τιμή από τη λίστα." type="list">
      <formula1>"ΝΑΙ,ΟΧΙ"</formula1>
    </dataValidation>
    <dataValidation sqref="G5:H404" showDropDown="0" showInputMessage="0" showErrorMessage="0" allowBlank="1" error="Επιλέξτε τιμή από τη λίστα." type="list">
      <formula1>"ΝΑΙ,ΟΧΙ,ΙΣΩΣ"</formula1>
    </dataValidation>
    <dataValidation sqref="J5:K404" showDropDown="0" showInputMessage="0" showErrorMessage="0" allowBlank="1" error="Επιλέξτε τιμή από τη λίστα." type="list">
      <formula1>"ΝΑΙ,ΟΧΙ"</formula1>
    </dataValidation>
    <dataValidation sqref="L5:L404" showDropDown="0" showInputMessage="0" showErrorMessage="0" allowBlank="1" error="Επιλέξτε τιμή από τη λίστα." type="list">
      <formula1>"ΕΝΤΑΞΗ,ΑΠΟΚΛΕΙΣΜΟΣ"</formula1>
    </dataValidation>
    <dataValidation sqref="M8:M404" showDropDown="0" showInputMessage="0" showErrorMessage="0" allowBlank="1" error="Επιλέξτε τιμή από τη λίστα." type="list">
      <formula1>"Όχι εμπειρική μελέτη,Εκτός πληθυσμού ή πλαισίου,Εκτός έννοιας ενδιαφέροντος,Ανασκόπηση"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6" customWidth="1" min="1" max="1"/>
    <col width="62" customWidth="1" min="2" max="2"/>
    <col width="12" customWidth="1" min="3" max="3"/>
    <col width="50" customWidth="1" min="4" max="4"/>
  </cols>
  <sheetData>
    <row r="1">
      <c r="A1" s="4" t="inlineStr">
        <is>
          <t>Αριθμοί για το διάγραμμα ροής PRISMA 2020</t>
        </is>
      </c>
    </row>
    <row r="2" ht="30" customHeight="1">
      <c r="A2" s="5" t="inlineStr">
        <is>
          <t>Υπολογίζονται αυτόματα από το φύλλο 2_Επιλογή. Μην γράφετε σε αυτό το φύλλο.</t>
        </is>
      </c>
    </row>
    <row r="4" ht="42" customHeight="1">
      <c r="A4" s="27" t="inlineStr">
        <is>
          <t>Φάση</t>
        </is>
      </c>
      <c r="B4" s="27" t="inlineStr">
        <is>
          <t>Μέγεθος</t>
        </is>
      </c>
      <c r="C4" s="27" t="inlineStr">
        <is>
          <t>n</t>
        </is>
      </c>
      <c r="D4" s="27" t="inlineStr">
        <is>
          <t>Έλεγχος</t>
        </is>
      </c>
    </row>
    <row r="5">
      <c r="A5" s="31" t="inlineStr">
        <is>
          <t>Εντοπισμός</t>
        </is>
      </c>
      <c r="B5" s="32" t="inlineStr">
        <is>
          <t>Εγγραφές που εντοπίστηκαν (γραμμές στο φύλλο 2_Επιλογή)</t>
        </is>
      </c>
      <c r="C5" s="33">
        <f>COUNTA('2_Επιλογή'!B5:B404)</f>
        <v/>
      </c>
      <c r="D5" s="34">
        <f>IF(C5='1_Αναζήτηση'!F27,"Συμφωνεί με το ημερολόγιο αναζήτησης","Διαφέρει από το ημερολόγιο: ελέγξτε ότι καταχωρίσατε όλες τις εγγραφές")</f>
        <v/>
      </c>
    </row>
    <row r="6">
      <c r="A6" s="31" t="inlineStr"/>
      <c r="B6" s="32" t="inlineStr">
        <is>
          <t>Αφαιρέθηκαν πριν από τον έλεγχο: διπλοεγγραφές</t>
        </is>
      </c>
      <c r="C6" s="33">
        <f>COUNTIF('2_Επιλογή'!F5:F404,"ΝΑΙ")</f>
        <v/>
      </c>
      <c r="D6" s="16" t="n"/>
    </row>
    <row r="7">
      <c r="A7" s="31" t="inlineStr">
        <is>
          <t>Έλεγχος</t>
        </is>
      </c>
      <c r="B7" s="32" t="inlineStr">
        <is>
          <t>Εγγραφές που ελέγχθηκαν με βάση τίτλο και περίληψη</t>
        </is>
      </c>
      <c r="C7" s="33">
        <f>C5-C6</f>
        <v/>
      </c>
      <c r="D7" s="34">
        <f>IF(C7=C8+C9,"Αθροίζει","Εκκρεμούν αποφάσεις στο Στάδιο 1")</f>
        <v/>
      </c>
    </row>
    <row r="8">
      <c r="A8" s="31" t="inlineStr"/>
      <c r="B8" s="32" t="inlineStr">
        <is>
          <t>Αποκλείστηκαν στο Στάδιο 1</t>
        </is>
      </c>
      <c r="C8" s="33">
        <f>COUNTIF('2_Επιλογή'!J5:J404,"ΟΧΙ")</f>
        <v/>
      </c>
      <c r="D8" s="16" t="n"/>
    </row>
    <row r="9">
      <c r="A9" s="31" t="inlineStr"/>
      <c r="B9" s="32" t="inlineStr">
        <is>
          <t>Πλήρη κείμενα που αναζητήθηκαν</t>
        </is>
      </c>
      <c r="C9" s="33">
        <f>COUNTIF('2_Επιλογή'!J5:J404,"ΝΑΙ")</f>
        <v/>
      </c>
      <c r="D9" s="16" t="n"/>
    </row>
    <row r="10">
      <c r="A10" s="31" t="inlineStr"/>
      <c r="B10" s="32" t="inlineStr">
        <is>
          <t>Πλήρη κείμενα που δεν ανακτήθηκαν</t>
        </is>
      </c>
      <c r="C10" s="33">
        <f>COUNTIF('2_Επιλογή'!K5:K404,"ΟΧΙ")</f>
        <v/>
      </c>
      <c r="D10" s="16" t="n"/>
    </row>
    <row r="11">
      <c r="A11" s="31" t="inlineStr"/>
      <c r="B11" s="32" t="inlineStr">
        <is>
          <t>Πλήρη κείμενα που αξιολογήθηκαν</t>
        </is>
      </c>
      <c r="C11" s="33">
        <f>C9-C10</f>
        <v/>
      </c>
      <c r="D11" s="34">
        <f>IF(C11=C12+C13,"Αθροίζει","Εκκρεμούν αποφάσεις στο Στάδιο 2")</f>
        <v/>
      </c>
    </row>
    <row r="12">
      <c r="A12" s="31" t="inlineStr"/>
      <c r="B12" s="32" t="inlineStr">
        <is>
          <t>Αποκλείστηκαν με αιτιολογία στο Στάδιο 2</t>
        </is>
      </c>
      <c r="C12" s="33">
        <f>COUNTIF('2_Επιλογή'!L5:L404,"ΑΠΟΚΛΕΙΣΜΟΣ")</f>
        <v/>
      </c>
      <c r="D12" s="16" t="n"/>
    </row>
    <row r="13">
      <c r="A13" s="31" t="inlineStr">
        <is>
          <t>Ένταξη</t>
        </is>
      </c>
      <c r="B13" s="32" t="inlineStr">
        <is>
          <t>Μελέτες που εντάχθηκαν στην ανασκόπηση</t>
        </is>
      </c>
      <c r="C13" s="33">
        <f>COUNTIF('2_Επιλογή'!L5:L404,"ΕΝΤΑΞΗ")</f>
        <v/>
      </c>
      <c r="D13" s="16" t="n"/>
    </row>
    <row r="16">
      <c r="A16" s="35" t="inlineStr">
        <is>
          <t>Λόγοι αποκλεισμού στο Στάδιο 2</t>
        </is>
      </c>
    </row>
    <row r="17">
      <c r="B17" s="36" t="inlineStr">
        <is>
          <t>Όχι εμπειρική μελέτη</t>
        </is>
      </c>
      <c r="C17" s="37">
        <f>COUNTIF('2_Επιλογή'!M5:M404,B17)</f>
        <v/>
      </c>
    </row>
    <row r="18">
      <c r="B18" s="36" t="inlineStr">
        <is>
          <t>Εκτός πληθυσμού ή πλαισίου</t>
        </is>
      </c>
      <c r="C18" s="37">
        <f>COUNTIF('2_Επιλογή'!M5:M404,B18)</f>
        <v/>
      </c>
    </row>
    <row r="19">
      <c r="B19" s="36" t="inlineStr">
        <is>
          <t>Εκτός έννοιας ενδιαφέροντος</t>
        </is>
      </c>
      <c r="C19" s="37">
        <f>COUNTIF('2_Επιλογή'!M5:M404,B19)</f>
        <v/>
      </c>
    </row>
    <row r="20">
      <c r="B20" s="36" t="inlineStr">
        <is>
          <t>Ανασκόπηση</t>
        </is>
      </c>
      <c r="C20" s="37">
        <f>COUNTIF('2_Επιλογή'!M5:M404,B20)</f>
        <v/>
      </c>
    </row>
    <row r="23">
      <c r="A23" s="35" t="inlineStr">
        <is>
          <t>Μελέτες που εντάχθηκαν, ανά έτος (από το φύλλο 3_Εξαγωγή)</t>
        </is>
      </c>
    </row>
    <row r="24">
      <c r="B24" s="38" t="n">
        <v>2019</v>
      </c>
      <c r="C24" s="37">
        <f>COUNTIF('3_Εξαγωγή'!C5:C104,B24)</f>
        <v/>
      </c>
      <c r="D24" s="39" t="inlineStr">
        <is>
          <t>Υπόθεση: χρονικό εύρος 2019 έως 2026, όπως στο παράδειγμα του μαθήματος. Αλλάξτε τα έτη στη στήλη Β αν το δικό σας εύρος διαφέρει.</t>
        </is>
      </c>
    </row>
    <row r="25">
      <c r="B25" s="38" t="n">
        <v>2020</v>
      </c>
      <c r="C25" s="37">
        <f>COUNTIF('3_Εξαγωγή'!C5:C104,B25)</f>
        <v/>
      </c>
    </row>
    <row r="26">
      <c r="B26" s="38" t="n">
        <v>2021</v>
      </c>
      <c r="C26" s="37">
        <f>COUNTIF('3_Εξαγωγή'!C5:C104,B26)</f>
        <v/>
      </c>
    </row>
    <row r="27">
      <c r="B27" s="38" t="n">
        <v>2022</v>
      </c>
      <c r="C27" s="37">
        <f>COUNTIF('3_Εξαγωγή'!C5:C104,B27)</f>
        <v/>
      </c>
    </row>
    <row r="28">
      <c r="B28" s="38" t="n">
        <v>2023</v>
      </c>
      <c r="C28" s="37">
        <f>COUNTIF('3_Εξαγωγή'!C5:C104,B28)</f>
        <v/>
      </c>
    </row>
    <row r="29">
      <c r="B29" s="38" t="n">
        <v>2024</v>
      </c>
      <c r="C29" s="37">
        <f>COUNTIF('3_Εξαγωγή'!C5:C104,B29)</f>
        <v/>
      </c>
    </row>
    <row r="30">
      <c r="B30" s="38" t="n">
        <v>2025</v>
      </c>
      <c r="C30" s="37">
        <f>COUNTIF('3_Εξαγωγή'!C5:C104,B30)</f>
        <v/>
      </c>
    </row>
    <row r="31">
      <c r="B31" s="38" t="n">
        <v>2026</v>
      </c>
      <c r="C31" s="37">
        <f>COUNTIF('3_Εξαγωγή'!C5:C104,B31)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6" customWidth="1" min="2" max="2"/>
    <col width="8" customWidth="1" min="3" max="3"/>
    <col width="14" customWidth="1" min="4" max="4"/>
    <col width="28" customWidth="1" min="5" max="5"/>
    <col width="26" customWidth="1" min="6" max="6"/>
    <col width="22" customWidth="1" min="7" max="7"/>
    <col width="28" customWidth="1" min="8" max="8"/>
    <col width="28" customWidth="1" min="9" max="9"/>
    <col width="22" customWidth="1" min="10" max="10"/>
    <col width="44" customWidth="1" min="11" max="11"/>
    <col width="30" customWidth="1" min="12" max="12"/>
    <col width="12" customWidth="1" min="13" max="13"/>
    <col width="12" customWidth="1" min="14" max="14"/>
    <col width="12" customWidth="1" min="15" max="15"/>
  </cols>
  <sheetData>
    <row r="1">
      <c r="A1" s="4" t="inlineStr">
        <is>
          <t>Πίνακας εξαγωγής δεδομένων</t>
        </is>
      </c>
    </row>
    <row r="2" ht="30" customHeight="1">
      <c r="A2" s="5" t="inlineStr">
        <is>
          <t>Μία γραμμή ανά μελέτη που εντάχθηκε. Ίδιες στήλες για όλες τις μελέτες. Δοκιμάστε τον πίνακα σε τρεις μελέτες πριν συνεχίσετε.</t>
        </is>
      </c>
    </row>
    <row r="4" ht="42" customHeight="1">
      <c r="A4" s="27" t="inlineStr">
        <is>
          <t>ID</t>
        </is>
      </c>
      <c r="B4" s="27" t="inlineStr">
        <is>
          <t>Παραπομπή (APA 7)</t>
        </is>
      </c>
      <c r="C4" s="27" t="inlineStr">
        <is>
          <t>Έτος</t>
        </is>
      </c>
      <c r="D4" s="27" t="inlineStr">
        <is>
          <t>Χώρα</t>
        </is>
      </c>
      <c r="E4" s="27" t="inlineStr">
        <is>
          <t>Τι; Εκπαιδευτικό πλαίσιο</t>
        </is>
      </c>
      <c r="F4" s="27" t="inlineStr">
        <is>
          <t>Τι; Δεδομένα</t>
        </is>
      </c>
      <c r="G4" s="27" t="inlineStr">
        <is>
          <t>Ποιος; Ενδιαφερόμενοι</t>
        </is>
      </c>
      <c r="H4" s="27" t="inlineStr">
        <is>
          <t>Γιατί; Στόχος</t>
        </is>
      </c>
      <c r="I4" s="27" t="inlineStr">
        <is>
          <t>Πώς; Μέθοδος</t>
        </is>
      </c>
      <c r="J4" s="27" t="inlineStr">
        <is>
          <t>Δείγμα</t>
        </is>
      </c>
      <c r="K4" s="27" t="inlineStr">
        <is>
          <t>Κύρια ευρήματα</t>
        </is>
      </c>
      <c r="L4" s="27" t="inlineStr">
        <is>
          <t>Περιορισμοί</t>
        </is>
      </c>
      <c r="M4" s="27" t="inlineStr">
        <is>
          <t>Σχετικό με ΕΕ1;</t>
        </is>
      </c>
      <c r="N4" s="27" t="inlineStr">
        <is>
          <t>Σχετικό με ΕΕ2;</t>
        </is>
      </c>
      <c r="O4" s="27" t="inlineStr">
        <is>
          <t>Σχετικό με ΕΕ3;</t>
        </is>
      </c>
    </row>
    <row r="5">
      <c r="A5" s="21" t="n">
        <v>1</v>
      </c>
      <c r="B5" s="21" t="inlineStr">
        <is>
          <t>Herodotou, C., Rienties, B., Boroowa, A., Zdrahal, Z., &amp; Hlosta, M. (2019). A large-scale implementation of predictive learning analytics in higher education: the teachers' role and perspective. Educational Technology Research and Development, 67(5), 1273–1306.</t>
        </is>
      </c>
      <c r="C5" s="21" t="n">
        <v>2019</v>
      </c>
      <c r="D5" s="21" t="inlineStr">
        <is>
          <t>Ηνωμένο Βασίλειο</t>
        </is>
      </c>
      <c r="E5" s="21" t="inlineStr">
        <is>
          <t>εξ αποστάσεως πανεπιστήμιο</t>
        </is>
      </c>
      <c r="F5" s="21" t="inlineStr">
        <is>
          <t>δημογραφικά και ίχνη από το εικονικό περιβάλλον μάθησης</t>
        </is>
      </c>
      <c r="G5" s="21" t="inlineStr">
        <is>
          <t>διδάσκοντες</t>
        </is>
      </c>
      <c r="H5" s="21" t="inlineStr">
        <is>
          <t>έγκαιρος εντοπισμός φοιτητών σε κίνδυνο</t>
        </is>
      </c>
      <c r="I5" s="21" t="inlineStr">
        <is>
          <t>προγνωστικό μοντέλο και πίνακας πληροφοριών</t>
        </is>
      </c>
      <c r="J5" s="21" t="inlineStr">
        <is>
          <t>διδάσκοντες και οι φοιτητές τους</t>
        </is>
      </c>
      <c r="K5" s="21" t="inlineStr">
        <is>
          <t>Η συχνότερη χρήση των προβλέψεων από τους διδάσκοντες συνδέθηκε με καλύτερα ποσοστά ολοκλήρωσης και επιτυχίας.</t>
        </is>
      </c>
      <c r="L5" s="21" t="inlineStr">
        <is>
          <t>Συσχέτιση, όχι αιτιότητα.</t>
        </is>
      </c>
      <c r="M5" s="21" t="inlineStr">
        <is>
          <t>ΝΑΙ</t>
        </is>
      </c>
      <c r="N5" s="21" t="inlineStr">
        <is>
          <t>ΝΑΙ</t>
        </is>
      </c>
      <c r="O5" s="21" t="inlineStr">
        <is>
          <t>ΝΑΙ</t>
        </is>
      </c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</row>
  </sheetData>
  <dataValidations count="1">
    <dataValidation sqref="M6:O104" showDropDown="0" showInputMessage="0" showErrorMessage="0" allowBlank="1" error="Επιλέξτε τιμή από τη λίστα." type="list">
      <formula1>"ΝΑΙ,ΟΧΙ"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8" customWidth="1" min="3" max="3"/>
    <col width="18" customWidth="1" min="4" max="4"/>
    <col width="16" customWidth="1" min="5" max="5"/>
    <col width="22" customWidth="1" min="6" max="6"/>
    <col width="18" customWidth="1" min="7" max="7"/>
    <col width="14" customWidth="1" min="8" max="8"/>
    <col width="44" customWidth="1" min="9" max="9"/>
  </cols>
  <sheetData>
    <row r="1">
      <c r="A1" s="4" t="inlineStr">
        <is>
          <t>Αξιολόγηση ποιότητας</t>
        </is>
      </c>
    </row>
    <row r="2" ht="30" customHeight="1">
      <c r="A2" s="5" t="inlineStr">
        <is>
          <t>Απαντήστε ΝΑΙ, ΕΝ ΜΕΡΕΙ ή ΟΧΙ. Ο βαθμός υπολογίζεται αυτόματα: ΝΑΙ = 1, ΕΝ ΜΕΡΕΙ = 0,5, ΟΧΙ = 0. Η αξιολόγηση δεν αποκλείει μελέτες: δείχνει πόσο βάρος δίνετε στα ευρήματά τους.</t>
        </is>
      </c>
    </row>
    <row r="4" ht="42" customHeight="1">
      <c r="A4" s="27" t="inlineStr">
        <is>
          <t>ID</t>
        </is>
      </c>
      <c r="B4" s="27" t="inlineStr">
        <is>
          <t>Παραπομπή (σύντομη)</t>
        </is>
      </c>
      <c r="C4" s="27" t="inlineStr">
        <is>
          <t>1. Σαφές ερευνητικό ερώτημα;</t>
        </is>
      </c>
      <c r="D4" s="27" t="inlineStr">
        <is>
          <t>2. Περιγράφονται δείγμα και πλαίσιο;</t>
        </is>
      </c>
      <c r="E4" s="27" t="inlineStr">
        <is>
          <t>3. Κατάλληλη μέθοδος;</t>
        </is>
      </c>
      <c r="F4" s="27" t="inlineStr">
        <is>
          <t>4. Τα συμπεράσματα στηρίζονται στα δεδομένα;</t>
        </is>
      </c>
      <c r="G4" s="27" t="inlineStr">
        <is>
          <t>5. Αναφέρονται περιορισμοί;</t>
        </is>
      </c>
      <c r="H4" s="27" t="inlineStr">
        <is>
          <t>Βαθμός (0 έως 5)</t>
        </is>
      </c>
      <c r="I4" s="27" t="inlineStr">
        <is>
          <t>Σχόλια</t>
        </is>
      </c>
    </row>
    <row r="5">
      <c r="A5" s="21" t="n">
        <v>1</v>
      </c>
      <c r="B5" s="21" t="inlineStr">
        <is>
          <t>Herodotou et al. (2019)</t>
        </is>
      </c>
      <c r="C5" s="21" t="inlineStr">
        <is>
          <t>ΝΑΙ</t>
        </is>
      </c>
      <c r="D5" s="21" t="inlineStr">
        <is>
          <t>ΝΑΙ</t>
        </is>
      </c>
      <c r="E5" s="21" t="inlineStr">
        <is>
          <t>ΝΑΙ</t>
        </is>
      </c>
      <c r="F5" s="21" t="inlineStr">
        <is>
          <t>ΕΝ ΜΕΡΕΙ</t>
        </is>
      </c>
      <c r="G5" s="21" t="inlineStr">
        <is>
          <t>ΝΑΙ</t>
        </is>
      </c>
      <c r="H5" s="20">
        <f>IF(COUNTA(C5:G5)=0,"",COUNTIF(C5:G5,"ΝΑΙ")+0.5*COUNTIF(C5:G5,"ΕΝ ΜΕΡΕΙ"))</f>
        <v/>
      </c>
      <c r="I5" s="21" t="inlineStr">
        <is>
          <t>Παράδειγμα: διαγράψτε το πριν ξεκινήσετε.</t>
        </is>
      </c>
    </row>
    <row r="6">
      <c r="A6" s="11" t="n"/>
      <c r="B6" s="11" t="n"/>
      <c r="C6" s="11" t="n"/>
      <c r="D6" s="11" t="n"/>
      <c r="E6" s="11" t="n"/>
      <c r="F6" s="11" t="n"/>
      <c r="G6" s="11" t="n"/>
      <c r="H6" s="40">
        <f>IF(COUNTA(C6:G6)=0,"",COUNTIF(C6:G6,"ΝΑΙ")+0.5*COUNTIF(C6:G6,"ΕΝ ΜΕΡΕΙ"))</f>
        <v/>
      </c>
      <c r="I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40">
        <f>IF(COUNTA(C7:G7)=0,"",COUNTIF(C7:G7,"ΝΑΙ")+0.5*COUNTIF(C7:G7,"ΕΝ ΜΕΡΕΙ"))</f>
        <v/>
      </c>
      <c r="I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40">
        <f>IF(COUNTA(C8:G8)=0,"",COUNTIF(C8:G8,"ΝΑΙ")+0.5*COUNTIF(C8:G8,"ΕΝ ΜΕΡΕΙ"))</f>
        <v/>
      </c>
      <c r="I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40">
        <f>IF(COUNTA(C9:G9)=0,"",COUNTIF(C9:G9,"ΝΑΙ")+0.5*COUNTIF(C9:G9,"ΕΝ ΜΕΡΕΙ"))</f>
        <v/>
      </c>
      <c r="I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40">
        <f>IF(COUNTA(C10:G10)=0,"",COUNTIF(C10:G10,"ΝΑΙ")+0.5*COUNTIF(C10:G10,"ΕΝ ΜΕΡΕΙ"))</f>
        <v/>
      </c>
      <c r="I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40">
        <f>IF(COUNTA(C11:G11)=0,"",COUNTIF(C11:G11,"ΝΑΙ")+0.5*COUNTIF(C11:G11,"ΕΝ ΜΕΡΕΙ"))</f>
        <v/>
      </c>
      <c r="I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40">
        <f>IF(COUNTA(C12:G12)=0,"",COUNTIF(C12:G12,"ΝΑΙ")+0.5*COUNTIF(C12:G12,"ΕΝ ΜΕΡΕΙ"))</f>
        <v/>
      </c>
      <c r="I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40">
        <f>IF(COUNTA(C13:G13)=0,"",COUNTIF(C13:G13,"ΝΑΙ")+0.5*COUNTIF(C13:G13,"ΕΝ ΜΕΡΕΙ"))</f>
        <v/>
      </c>
      <c r="I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40">
        <f>IF(COUNTA(C14:G14)=0,"",COUNTIF(C14:G14,"ΝΑΙ")+0.5*COUNTIF(C14:G14,"ΕΝ ΜΕΡΕΙ"))</f>
        <v/>
      </c>
      <c r="I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40">
        <f>IF(COUNTA(C15:G15)=0,"",COUNTIF(C15:G15,"ΝΑΙ")+0.5*COUNTIF(C15:G15,"ΕΝ ΜΕΡΕΙ"))</f>
        <v/>
      </c>
      <c r="I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40">
        <f>IF(COUNTA(C16:G16)=0,"",COUNTIF(C16:G16,"ΝΑΙ")+0.5*COUNTIF(C16:G16,"ΕΝ ΜΕΡΕΙ"))</f>
        <v/>
      </c>
      <c r="I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40">
        <f>IF(COUNTA(C17:G17)=0,"",COUNTIF(C17:G17,"ΝΑΙ")+0.5*COUNTIF(C17:G17,"ΕΝ ΜΕΡΕΙ"))</f>
        <v/>
      </c>
      <c r="I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40">
        <f>IF(COUNTA(C18:G18)=0,"",COUNTIF(C18:G18,"ΝΑΙ")+0.5*COUNTIF(C18:G18,"ΕΝ ΜΕΡΕΙ"))</f>
        <v/>
      </c>
      <c r="I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40">
        <f>IF(COUNTA(C19:G19)=0,"",COUNTIF(C19:G19,"ΝΑΙ")+0.5*COUNTIF(C19:G19,"ΕΝ ΜΕΡΕΙ"))</f>
        <v/>
      </c>
      <c r="I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40">
        <f>IF(COUNTA(C20:G20)=0,"",COUNTIF(C20:G20,"ΝΑΙ")+0.5*COUNTIF(C20:G20,"ΕΝ ΜΕΡΕΙ"))</f>
        <v/>
      </c>
      <c r="I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40">
        <f>IF(COUNTA(C21:G21)=0,"",COUNTIF(C21:G21,"ΝΑΙ")+0.5*COUNTIF(C21:G21,"ΕΝ ΜΕΡΕΙ"))</f>
        <v/>
      </c>
      <c r="I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40">
        <f>IF(COUNTA(C22:G22)=0,"",COUNTIF(C22:G22,"ΝΑΙ")+0.5*COUNTIF(C22:G22,"ΕΝ ΜΕΡΕΙ"))</f>
        <v/>
      </c>
      <c r="I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40">
        <f>IF(COUNTA(C23:G23)=0,"",COUNTIF(C23:G23,"ΝΑΙ")+0.5*COUNTIF(C23:G23,"ΕΝ ΜΕΡΕΙ"))</f>
        <v/>
      </c>
      <c r="I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40">
        <f>IF(COUNTA(C24:G24)=0,"",COUNTIF(C24:G24,"ΝΑΙ")+0.5*COUNTIF(C24:G24,"ΕΝ ΜΕΡΕΙ"))</f>
        <v/>
      </c>
      <c r="I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40">
        <f>IF(COUNTA(C25:G25)=0,"",COUNTIF(C25:G25,"ΝΑΙ")+0.5*COUNTIF(C25:G25,"ΕΝ ΜΕΡΕΙ"))</f>
        <v/>
      </c>
      <c r="I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40">
        <f>IF(COUNTA(C26:G26)=0,"",COUNTIF(C26:G26,"ΝΑΙ")+0.5*COUNTIF(C26:G26,"ΕΝ ΜΕΡΕΙ"))</f>
        <v/>
      </c>
      <c r="I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40">
        <f>IF(COUNTA(C27:G27)=0,"",COUNTIF(C27:G27,"ΝΑΙ")+0.5*COUNTIF(C27:G27,"ΕΝ ΜΕΡΕΙ"))</f>
        <v/>
      </c>
      <c r="I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40">
        <f>IF(COUNTA(C28:G28)=0,"",COUNTIF(C28:G28,"ΝΑΙ")+0.5*COUNTIF(C28:G28,"ΕΝ ΜΕΡΕΙ"))</f>
        <v/>
      </c>
      <c r="I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40">
        <f>IF(COUNTA(C29:G29)=0,"",COUNTIF(C29:G29,"ΝΑΙ")+0.5*COUNTIF(C29:G29,"ΕΝ ΜΕΡΕΙ"))</f>
        <v/>
      </c>
      <c r="I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40">
        <f>IF(COUNTA(C30:G30)=0,"",COUNTIF(C30:G30,"ΝΑΙ")+0.5*COUNTIF(C30:G30,"ΕΝ ΜΕΡΕΙ"))</f>
        <v/>
      </c>
      <c r="I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40">
        <f>IF(COUNTA(C31:G31)=0,"",COUNTIF(C31:G31,"ΝΑΙ")+0.5*COUNTIF(C31:G31,"ΕΝ ΜΕΡΕΙ"))</f>
        <v/>
      </c>
      <c r="I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40">
        <f>IF(COUNTA(C32:G32)=0,"",COUNTIF(C32:G32,"ΝΑΙ")+0.5*COUNTIF(C32:G32,"ΕΝ ΜΕΡΕΙ"))</f>
        <v/>
      </c>
      <c r="I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40">
        <f>IF(COUNTA(C33:G33)=0,"",COUNTIF(C33:G33,"ΝΑΙ")+0.5*COUNTIF(C33:G33,"ΕΝ ΜΕΡΕΙ"))</f>
        <v/>
      </c>
      <c r="I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40">
        <f>IF(COUNTA(C34:G34)=0,"",COUNTIF(C34:G34,"ΝΑΙ")+0.5*COUNTIF(C34:G34,"ΕΝ ΜΕΡΕΙ"))</f>
        <v/>
      </c>
      <c r="I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40">
        <f>IF(COUNTA(C35:G35)=0,"",COUNTIF(C35:G35,"ΝΑΙ")+0.5*COUNTIF(C35:G35,"ΕΝ ΜΕΡΕΙ"))</f>
        <v/>
      </c>
      <c r="I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40">
        <f>IF(COUNTA(C36:G36)=0,"",COUNTIF(C36:G36,"ΝΑΙ")+0.5*COUNTIF(C36:G36,"ΕΝ ΜΕΡΕΙ"))</f>
        <v/>
      </c>
      <c r="I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40">
        <f>IF(COUNTA(C37:G37)=0,"",COUNTIF(C37:G37,"ΝΑΙ")+0.5*COUNTIF(C37:G37,"ΕΝ ΜΕΡΕΙ"))</f>
        <v/>
      </c>
      <c r="I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40">
        <f>IF(COUNTA(C38:G38)=0,"",COUNTIF(C38:G38,"ΝΑΙ")+0.5*COUNTIF(C38:G38,"ΕΝ ΜΕΡΕΙ"))</f>
        <v/>
      </c>
      <c r="I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40">
        <f>IF(COUNTA(C39:G39)=0,"",COUNTIF(C39:G39,"ΝΑΙ")+0.5*COUNTIF(C39:G39,"ΕΝ ΜΕΡΕΙ"))</f>
        <v/>
      </c>
      <c r="I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40">
        <f>IF(COUNTA(C40:G40)=0,"",COUNTIF(C40:G40,"ΝΑΙ")+0.5*COUNTIF(C40:G40,"ΕΝ ΜΕΡΕΙ"))</f>
        <v/>
      </c>
      <c r="I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40">
        <f>IF(COUNTA(C41:G41)=0,"",COUNTIF(C41:G41,"ΝΑΙ")+0.5*COUNTIF(C41:G41,"ΕΝ ΜΕΡΕΙ"))</f>
        <v/>
      </c>
      <c r="I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40">
        <f>IF(COUNTA(C42:G42)=0,"",COUNTIF(C42:G42,"ΝΑΙ")+0.5*COUNTIF(C42:G42,"ΕΝ ΜΕΡΕΙ"))</f>
        <v/>
      </c>
      <c r="I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40">
        <f>IF(COUNTA(C43:G43)=0,"",COUNTIF(C43:G43,"ΝΑΙ")+0.5*COUNTIF(C43:G43,"ΕΝ ΜΕΡΕΙ"))</f>
        <v/>
      </c>
      <c r="I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40">
        <f>IF(COUNTA(C44:G44)=0,"",COUNTIF(C44:G44,"ΝΑΙ")+0.5*COUNTIF(C44:G44,"ΕΝ ΜΕΡΕΙ"))</f>
        <v/>
      </c>
      <c r="I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40">
        <f>IF(COUNTA(C45:G45)=0,"",COUNTIF(C45:G45,"ΝΑΙ")+0.5*COUNTIF(C45:G45,"ΕΝ ΜΕΡΕΙ"))</f>
        <v/>
      </c>
      <c r="I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40">
        <f>IF(COUNTA(C46:G46)=0,"",COUNTIF(C46:G46,"ΝΑΙ")+0.5*COUNTIF(C46:G46,"ΕΝ ΜΕΡΕΙ"))</f>
        <v/>
      </c>
      <c r="I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40">
        <f>IF(COUNTA(C47:G47)=0,"",COUNTIF(C47:G47,"ΝΑΙ")+0.5*COUNTIF(C47:G47,"ΕΝ ΜΕΡΕΙ"))</f>
        <v/>
      </c>
      <c r="I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40">
        <f>IF(COUNTA(C48:G48)=0,"",COUNTIF(C48:G48,"ΝΑΙ")+0.5*COUNTIF(C48:G48,"ΕΝ ΜΕΡΕΙ"))</f>
        <v/>
      </c>
      <c r="I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40">
        <f>IF(COUNTA(C49:G49)=0,"",COUNTIF(C49:G49,"ΝΑΙ")+0.5*COUNTIF(C49:G49,"ΕΝ ΜΕΡΕΙ"))</f>
        <v/>
      </c>
      <c r="I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40">
        <f>IF(COUNTA(C50:G50)=0,"",COUNTIF(C50:G50,"ΝΑΙ")+0.5*COUNTIF(C50:G50,"ΕΝ ΜΕΡΕΙ"))</f>
        <v/>
      </c>
      <c r="I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40">
        <f>IF(COUNTA(C51:G51)=0,"",COUNTIF(C51:G51,"ΝΑΙ")+0.5*COUNTIF(C51:G51,"ΕΝ ΜΕΡΕΙ"))</f>
        <v/>
      </c>
      <c r="I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40">
        <f>IF(COUNTA(C52:G52)=0,"",COUNTIF(C52:G52,"ΝΑΙ")+0.5*COUNTIF(C52:G52,"ΕΝ ΜΕΡΕΙ"))</f>
        <v/>
      </c>
      <c r="I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40">
        <f>IF(COUNTA(C53:G53)=0,"",COUNTIF(C53:G53,"ΝΑΙ")+0.5*COUNTIF(C53:G53,"ΕΝ ΜΕΡΕΙ"))</f>
        <v/>
      </c>
      <c r="I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40">
        <f>IF(COUNTA(C54:G54)=0,"",COUNTIF(C54:G54,"ΝΑΙ")+0.5*COUNTIF(C54:G54,"ΕΝ ΜΕΡΕΙ"))</f>
        <v/>
      </c>
      <c r="I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40">
        <f>IF(COUNTA(C55:G55)=0,"",COUNTIF(C55:G55,"ΝΑΙ")+0.5*COUNTIF(C55:G55,"ΕΝ ΜΕΡΕΙ"))</f>
        <v/>
      </c>
      <c r="I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40">
        <f>IF(COUNTA(C56:G56)=0,"",COUNTIF(C56:G56,"ΝΑΙ")+0.5*COUNTIF(C56:G56,"ΕΝ ΜΕΡΕΙ"))</f>
        <v/>
      </c>
      <c r="I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40">
        <f>IF(COUNTA(C57:G57)=0,"",COUNTIF(C57:G57,"ΝΑΙ")+0.5*COUNTIF(C57:G57,"ΕΝ ΜΕΡΕΙ"))</f>
        <v/>
      </c>
      <c r="I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40">
        <f>IF(COUNTA(C58:G58)=0,"",COUNTIF(C58:G58,"ΝΑΙ")+0.5*COUNTIF(C58:G58,"ΕΝ ΜΕΡΕΙ"))</f>
        <v/>
      </c>
      <c r="I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40">
        <f>IF(COUNTA(C59:G59)=0,"",COUNTIF(C59:G59,"ΝΑΙ")+0.5*COUNTIF(C59:G59,"ΕΝ ΜΕΡΕΙ"))</f>
        <v/>
      </c>
      <c r="I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40">
        <f>IF(COUNTA(C60:G60)=0,"",COUNTIF(C60:G60,"ΝΑΙ")+0.5*COUNTIF(C60:G60,"ΕΝ ΜΕΡΕΙ"))</f>
        <v/>
      </c>
      <c r="I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40">
        <f>IF(COUNTA(C61:G61)=0,"",COUNTIF(C61:G61,"ΝΑΙ")+0.5*COUNTIF(C61:G61,"ΕΝ ΜΕΡΕΙ"))</f>
        <v/>
      </c>
      <c r="I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40">
        <f>IF(COUNTA(C62:G62)=0,"",COUNTIF(C62:G62,"ΝΑΙ")+0.5*COUNTIF(C62:G62,"ΕΝ ΜΕΡΕΙ"))</f>
        <v/>
      </c>
      <c r="I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40">
        <f>IF(COUNTA(C63:G63)=0,"",COUNTIF(C63:G63,"ΝΑΙ")+0.5*COUNTIF(C63:G63,"ΕΝ ΜΕΡΕΙ"))</f>
        <v/>
      </c>
      <c r="I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40">
        <f>IF(COUNTA(C64:G64)=0,"",COUNTIF(C64:G64,"ΝΑΙ")+0.5*COUNTIF(C64:G64,"ΕΝ ΜΕΡΕΙ"))</f>
        <v/>
      </c>
      <c r="I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40">
        <f>IF(COUNTA(C65:G65)=0,"",COUNTIF(C65:G65,"ΝΑΙ")+0.5*COUNTIF(C65:G65,"ΕΝ ΜΕΡΕΙ"))</f>
        <v/>
      </c>
      <c r="I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40">
        <f>IF(COUNTA(C66:G66)=0,"",COUNTIF(C66:G66,"ΝΑΙ")+0.5*COUNTIF(C66:G66,"ΕΝ ΜΕΡΕΙ"))</f>
        <v/>
      </c>
      <c r="I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40">
        <f>IF(COUNTA(C67:G67)=0,"",COUNTIF(C67:G67,"ΝΑΙ")+0.5*COUNTIF(C67:G67,"ΕΝ ΜΕΡΕΙ"))</f>
        <v/>
      </c>
      <c r="I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40">
        <f>IF(COUNTA(C68:G68)=0,"",COUNTIF(C68:G68,"ΝΑΙ")+0.5*COUNTIF(C68:G68,"ΕΝ ΜΕΡΕΙ"))</f>
        <v/>
      </c>
      <c r="I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40">
        <f>IF(COUNTA(C69:G69)=0,"",COUNTIF(C69:G69,"ΝΑΙ")+0.5*COUNTIF(C69:G69,"ΕΝ ΜΕΡΕΙ"))</f>
        <v/>
      </c>
      <c r="I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40">
        <f>IF(COUNTA(C70:G70)=0,"",COUNTIF(C70:G70,"ΝΑΙ")+0.5*COUNTIF(C70:G70,"ΕΝ ΜΕΡΕΙ"))</f>
        <v/>
      </c>
      <c r="I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40">
        <f>IF(COUNTA(C71:G71)=0,"",COUNTIF(C71:G71,"ΝΑΙ")+0.5*COUNTIF(C71:G71,"ΕΝ ΜΕΡΕΙ"))</f>
        <v/>
      </c>
      <c r="I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40">
        <f>IF(COUNTA(C72:G72)=0,"",COUNTIF(C72:G72,"ΝΑΙ")+0.5*COUNTIF(C72:G72,"ΕΝ ΜΕΡΕΙ"))</f>
        <v/>
      </c>
      <c r="I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40">
        <f>IF(COUNTA(C73:G73)=0,"",COUNTIF(C73:G73,"ΝΑΙ")+0.5*COUNTIF(C73:G73,"ΕΝ ΜΕΡΕΙ"))</f>
        <v/>
      </c>
      <c r="I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40">
        <f>IF(COUNTA(C74:G74)=0,"",COUNTIF(C74:G74,"ΝΑΙ")+0.5*COUNTIF(C74:G74,"ΕΝ ΜΕΡΕΙ"))</f>
        <v/>
      </c>
      <c r="I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40">
        <f>IF(COUNTA(C75:G75)=0,"",COUNTIF(C75:G75,"ΝΑΙ")+0.5*COUNTIF(C75:G75,"ΕΝ ΜΕΡΕΙ"))</f>
        <v/>
      </c>
      <c r="I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40">
        <f>IF(COUNTA(C76:G76)=0,"",COUNTIF(C76:G76,"ΝΑΙ")+0.5*COUNTIF(C76:G76,"ΕΝ ΜΕΡΕΙ"))</f>
        <v/>
      </c>
      <c r="I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40">
        <f>IF(COUNTA(C77:G77)=0,"",COUNTIF(C77:G77,"ΝΑΙ")+0.5*COUNTIF(C77:G77,"ΕΝ ΜΕΡΕΙ"))</f>
        <v/>
      </c>
      <c r="I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40">
        <f>IF(COUNTA(C78:G78)=0,"",COUNTIF(C78:G78,"ΝΑΙ")+0.5*COUNTIF(C78:G78,"ΕΝ ΜΕΡΕΙ"))</f>
        <v/>
      </c>
      <c r="I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40">
        <f>IF(COUNTA(C79:G79)=0,"",COUNTIF(C79:G79,"ΝΑΙ")+0.5*COUNTIF(C79:G79,"ΕΝ ΜΕΡΕΙ"))</f>
        <v/>
      </c>
      <c r="I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40">
        <f>IF(COUNTA(C80:G80)=0,"",COUNTIF(C80:G80,"ΝΑΙ")+0.5*COUNTIF(C80:G80,"ΕΝ ΜΕΡΕΙ"))</f>
        <v/>
      </c>
      <c r="I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40">
        <f>IF(COUNTA(C81:G81)=0,"",COUNTIF(C81:G81,"ΝΑΙ")+0.5*COUNTIF(C81:G81,"ΕΝ ΜΕΡΕΙ"))</f>
        <v/>
      </c>
      <c r="I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40">
        <f>IF(COUNTA(C82:G82)=0,"",COUNTIF(C82:G82,"ΝΑΙ")+0.5*COUNTIF(C82:G82,"ΕΝ ΜΕΡΕΙ"))</f>
        <v/>
      </c>
      <c r="I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40">
        <f>IF(COUNTA(C83:G83)=0,"",COUNTIF(C83:G83,"ΝΑΙ")+0.5*COUNTIF(C83:G83,"ΕΝ ΜΕΡΕΙ"))</f>
        <v/>
      </c>
      <c r="I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40">
        <f>IF(COUNTA(C84:G84)=0,"",COUNTIF(C84:G84,"ΝΑΙ")+0.5*COUNTIF(C84:G84,"ΕΝ ΜΕΡΕΙ"))</f>
        <v/>
      </c>
      <c r="I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40">
        <f>IF(COUNTA(C85:G85)=0,"",COUNTIF(C85:G85,"ΝΑΙ")+0.5*COUNTIF(C85:G85,"ΕΝ ΜΕΡΕΙ"))</f>
        <v/>
      </c>
      <c r="I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40">
        <f>IF(COUNTA(C86:G86)=0,"",COUNTIF(C86:G86,"ΝΑΙ")+0.5*COUNTIF(C86:G86,"ΕΝ ΜΕΡΕΙ"))</f>
        <v/>
      </c>
      <c r="I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40">
        <f>IF(COUNTA(C87:G87)=0,"",COUNTIF(C87:G87,"ΝΑΙ")+0.5*COUNTIF(C87:G87,"ΕΝ ΜΕΡΕΙ"))</f>
        <v/>
      </c>
      <c r="I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40">
        <f>IF(COUNTA(C88:G88)=0,"",COUNTIF(C88:G88,"ΝΑΙ")+0.5*COUNTIF(C88:G88,"ΕΝ ΜΕΡΕΙ"))</f>
        <v/>
      </c>
      <c r="I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40">
        <f>IF(COUNTA(C89:G89)=0,"",COUNTIF(C89:G89,"ΝΑΙ")+0.5*COUNTIF(C89:G89,"ΕΝ ΜΕΡΕΙ"))</f>
        <v/>
      </c>
      <c r="I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40">
        <f>IF(COUNTA(C90:G90)=0,"",COUNTIF(C90:G90,"ΝΑΙ")+0.5*COUNTIF(C90:G90,"ΕΝ ΜΕΡΕΙ"))</f>
        <v/>
      </c>
      <c r="I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40">
        <f>IF(COUNTA(C91:G91)=0,"",COUNTIF(C91:G91,"ΝΑΙ")+0.5*COUNTIF(C91:G91,"ΕΝ ΜΕΡΕΙ"))</f>
        <v/>
      </c>
      <c r="I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40">
        <f>IF(COUNTA(C92:G92)=0,"",COUNTIF(C92:G92,"ΝΑΙ")+0.5*COUNTIF(C92:G92,"ΕΝ ΜΕΡΕΙ"))</f>
        <v/>
      </c>
      <c r="I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40">
        <f>IF(COUNTA(C93:G93)=0,"",COUNTIF(C93:G93,"ΝΑΙ")+0.5*COUNTIF(C93:G93,"ΕΝ ΜΕΡΕΙ"))</f>
        <v/>
      </c>
      <c r="I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40">
        <f>IF(COUNTA(C94:G94)=0,"",COUNTIF(C94:G94,"ΝΑΙ")+0.5*COUNTIF(C94:G94,"ΕΝ ΜΕΡΕΙ"))</f>
        <v/>
      </c>
      <c r="I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40">
        <f>IF(COUNTA(C95:G95)=0,"",COUNTIF(C95:G95,"ΝΑΙ")+0.5*COUNTIF(C95:G95,"ΕΝ ΜΕΡΕΙ"))</f>
        <v/>
      </c>
      <c r="I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40">
        <f>IF(COUNTA(C96:G96)=0,"",COUNTIF(C96:G96,"ΝΑΙ")+0.5*COUNTIF(C96:G96,"ΕΝ ΜΕΡΕΙ"))</f>
        <v/>
      </c>
      <c r="I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40">
        <f>IF(COUNTA(C97:G97)=0,"",COUNTIF(C97:G97,"ΝΑΙ")+0.5*COUNTIF(C97:G97,"ΕΝ ΜΕΡΕΙ"))</f>
        <v/>
      </c>
      <c r="I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40">
        <f>IF(COUNTA(C98:G98)=0,"",COUNTIF(C98:G98,"ΝΑΙ")+0.5*COUNTIF(C98:G98,"ΕΝ ΜΕΡΕΙ"))</f>
        <v/>
      </c>
      <c r="I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40">
        <f>IF(COUNTA(C99:G99)=0,"",COUNTIF(C99:G99,"ΝΑΙ")+0.5*COUNTIF(C99:G99,"ΕΝ ΜΕΡΕΙ"))</f>
        <v/>
      </c>
      <c r="I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40">
        <f>IF(COUNTA(C100:G100)=0,"",COUNTIF(C100:G100,"ΝΑΙ")+0.5*COUNTIF(C100:G100,"ΕΝ ΜΕΡΕΙ"))</f>
        <v/>
      </c>
      <c r="I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40">
        <f>IF(COUNTA(C101:G101)=0,"",COUNTIF(C101:G101,"ΝΑΙ")+0.5*COUNTIF(C101:G101,"ΕΝ ΜΕΡΕΙ"))</f>
        <v/>
      </c>
      <c r="I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40">
        <f>IF(COUNTA(C102:G102)=0,"",COUNTIF(C102:G102,"ΝΑΙ")+0.5*COUNTIF(C102:G102,"ΕΝ ΜΕΡΕΙ"))</f>
        <v/>
      </c>
      <c r="I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40">
        <f>IF(COUNTA(C103:G103)=0,"",COUNTIF(C103:G103,"ΝΑΙ")+0.5*COUNTIF(C103:G103,"ΕΝ ΜΕΡΕΙ"))</f>
        <v/>
      </c>
      <c r="I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40">
        <f>IF(COUNTA(C104:G104)=0,"",COUNTIF(C104:G104,"ΝΑΙ")+0.5*COUNTIF(C104:G104,"ΕΝ ΜΕΡΕΙ"))</f>
        <v/>
      </c>
      <c r="I104" s="11" t="n"/>
    </row>
  </sheetData>
  <dataValidations count="1">
    <dataValidation sqref="C6:G104" showDropDown="0" showInputMessage="0" showErrorMessage="0" allowBlank="1" error="Επιλέξτε τιμή από τη λίστα." type="list">
      <formula1>"ΝΑΙ,ΕΝ ΜΕΡΕΙ,ΟΧΙ"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6" customWidth="1" min="2" max="2"/>
    <col width="22" customWidth="1" min="3" max="3"/>
    <col width="22" customWidth="1" min="4" max="4"/>
    <col width="10" customWidth="1" min="5" max="5"/>
    <col width="10" customWidth="1" min="6" max="6"/>
    <col width="18" customWidth="1" min="7" max="7"/>
    <col width="30" customWidth="1" min="8" max="8"/>
    <col width="60" customWidth="1" min="9" max="9"/>
  </cols>
  <sheetData>
    <row r="1">
      <c r="A1" s="4" t="inlineStr">
        <is>
          <t>Σύνθεση των ευρημάτων</t>
        </is>
      </c>
    </row>
    <row r="2" ht="30" customHeight="1">
      <c r="A2" s="5" t="inlineStr">
        <is>
          <t>Μία γραμμή ανά ισχυρισμό. Κάθε ερευνητικό ερώτημα γίνεται μία ενότητα στα Αποτελέσματα· κάθε γραμμή γίνεται μία πρόταση της ενότητας. Χωρίς ερμηνεία: η ερμηνεία ανήκει στη Συζήτηση.</t>
        </is>
      </c>
    </row>
    <row r="4" ht="42" customHeight="1">
      <c r="A4" s="27" t="inlineStr">
        <is>
          <t>ΕΕ</t>
        </is>
      </c>
      <c r="B4" s="27" t="inlineStr">
        <is>
          <t>Ισχυρισμός (μία πρόταση, χωρίς ερμηνεία)</t>
        </is>
      </c>
      <c r="C4" s="27" t="inlineStr">
        <is>
          <t>Μελέτες υπέρ (ID από το φύλλο 3, χωρισμένα με ;)</t>
        </is>
      </c>
      <c r="D4" s="27" t="inlineStr">
        <is>
          <t>Μελέτες κατά ή με επιφύλαξη (ID, με ;)</t>
        </is>
      </c>
      <c r="E4" s="27" t="inlineStr">
        <is>
          <t>Πλήθος υπέρ</t>
        </is>
      </c>
      <c r="F4" s="27" t="inlineStr">
        <is>
          <t>Πλήθος κατά</t>
        </is>
      </c>
      <c r="G4" s="27" t="inlineStr">
        <is>
          <t>Ποιότητα των μελετών υπέρ (μέσος βαθμός, φύλλο 4)</t>
        </is>
      </c>
      <c r="H4" s="27" t="inlineStr">
        <is>
          <t>Σε ποια πλαίσια ισχύει</t>
        </is>
      </c>
      <c r="I4" s="27" t="inlineStr">
        <is>
          <t>Η πρόταση όπως θα γραφτεί στα Αποτελέσματα</t>
        </is>
      </c>
    </row>
    <row r="5">
      <c r="A5" s="21" t="inlineStr">
        <is>
          <t>ΕΕ1</t>
        </is>
      </c>
      <c r="B5" s="21" t="inlineStr">
        <is>
          <t>Η συχνότερη χρήση των προβλέψεων από τους διδάσκοντες συνδέεται με καλύτερα ποσοστά επιτυχίας.</t>
        </is>
      </c>
      <c r="C5" s="21" t="inlineStr">
        <is>
          <t>1</t>
        </is>
      </c>
      <c r="D5" s="21" t="inlineStr"/>
      <c r="E5" s="20">
        <f>IF(TRIM(C5)="","",LEN(TRIM(C5))-LEN(SUBSTITUTE(TRIM(C5),";",""))+1)</f>
        <v/>
      </c>
      <c r="F5" s="20">
        <f>IF(TRIM(D5)="","",LEN(TRIM(D5))-LEN(SUBSTITUTE(TRIM(D5),";",""))+1)</f>
        <v/>
      </c>
      <c r="G5" s="21" t="n">
        <v>4.5</v>
      </c>
      <c r="H5" s="21" t="inlineStr">
        <is>
          <t>εξ αποστάσεως πανεπιστήμιο, Ηνωμένο Βασίλειο</t>
        </is>
      </c>
      <c r="I5" s="21" t="inlineStr">
        <is>
          <t>Παράδειγμα: ισχυρισμός που στηρίζεται σε μία μόνο μελέτη διατυπώνεται ως ένδειξη, όχι ως εύρημα. Διαγράψτε τη γραμμή πριν ξεκινήσετε.</t>
        </is>
      </c>
    </row>
    <row r="6">
      <c r="A6" s="11" t="n"/>
      <c r="B6" s="11" t="n"/>
      <c r="C6" s="11" t="n"/>
      <c r="D6" s="11" t="n"/>
      <c r="E6" s="40">
        <f>IF(TRIM(C6)="","",LEN(TRIM(C6))-LEN(SUBSTITUTE(TRIM(C6),";",""))+1)</f>
        <v/>
      </c>
      <c r="F6" s="40">
        <f>IF(TRIM(D6)="","",LEN(TRIM(D6))-LEN(SUBSTITUTE(TRIM(D6),";",""))+1)</f>
        <v/>
      </c>
      <c r="G6" s="11" t="n"/>
      <c r="H6" s="11" t="n"/>
      <c r="I6" s="11" t="n"/>
    </row>
    <row r="7">
      <c r="A7" s="11" t="n"/>
      <c r="B7" s="11" t="n"/>
      <c r="C7" s="11" t="n"/>
      <c r="D7" s="11" t="n"/>
      <c r="E7" s="40">
        <f>IF(TRIM(C7)="","",LEN(TRIM(C7))-LEN(SUBSTITUTE(TRIM(C7),";",""))+1)</f>
        <v/>
      </c>
      <c r="F7" s="40">
        <f>IF(TRIM(D7)="","",LEN(TRIM(D7))-LEN(SUBSTITUTE(TRIM(D7),";",""))+1)</f>
        <v/>
      </c>
      <c r="G7" s="11" t="n"/>
      <c r="H7" s="11" t="n"/>
      <c r="I7" s="11" t="n"/>
    </row>
    <row r="8">
      <c r="A8" s="11" t="n"/>
      <c r="B8" s="11" t="n"/>
      <c r="C8" s="11" t="n"/>
      <c r="D8" s="11" t="n"/>
      <c r="E8" s="40">
        <f>IF(TRIM(C8)="","",LEN(TRIM(C8))-LEN(SUBSTITUTE(TRIM(C8),";",""))+1)</f>
        <v/>
      </c>
      <c r="F8" s="40">
        <f>IF(TRIM(D8)="","",LEN(TRIM(D8))-LEN(SUBSTITUTE(TRIM(D8),";",""))+1)</f>
        <v/>
      </c>
      <c r="G8" s="11" t="n"/>
      <c r="H8" s="11" t="n"/>
      <c r="I8" s="11" t="n"/>
    </row>
    <row r="9">
      <c r="A9" s="11" t="n"/>
      <c r="B9" s="11" t="n"/>
      <c r="C9" s="11" t="n"/>
      <c r="D9" s="11" t="n"/>
      <c r="E9" s="40">
        <f>IF(TRIM(C9)="","",LEN(TRIM(C9))-LEN(SUBSTITUTE(TRIM(C9),";",""))+1)</f>
        <v/>
      </c>
      <c r="F9" s="40">
        <f>IF(TRIM(D9)="","",LEN(TRIM(D9))-LEN(SUBSTITUTE(TRIM(D9),";",""))+1)</f>
        <v/>
      </c>
      <c r="G9" s="11" t="n"/>
      <c r="H9" s="11" t="n"/>
      <c r="I9" s="11" t="n"/>
    </row>
    <row r="10">
      <c r="A10" s="11" t="n"/>
      <c r="B10" s="11" t="n"/>
      <c r="C10" s="11" t="n"/>
      <c r="D10" s="11" t="n"/>
      <c r="E10" s="40">
        <f>IF(TRIM(C10)="","",LEN(TRIM(C10))-LEN(SUBSTITUTE(TRIM(C10),";",""))+1)</f>
        <v/>
      </c>
      <c r="F10" s="40">
        <f>IF(TRIM(D10)="","",LEN(TRIM(D10))-LEN(SUBSTITUTE(TRIM(D10),";",""))+1)</f>
        <v/>
      </c>
      <c r="G10" s="11" t="n"/>
      <c r="H10" s="11" t="n"/>
      <c r="I10" s="11" t="n"/>
    </row>
    <row r="11">
      <c r="A11" s="11" t="n"/>
      <c r="B11" s="11" t="n"/>
      <c r="C11" s="11" t="n"/>
      <c r="D11" s="11" t="n"/>
      <c r="E11" s="40">
        <f>IF(TRIM(C11)="","",LEN(TRIM(C11))-LEN(SUBSTITUTE(TRIM(C11),";",""))+1)</f>
        <v/>
      </c>
      <c r="F11" s="40">
        <f>IF(TRIM(D11)="","",LEN(TRIM(D11))-LEN(SUBSTITUTE(TRIM(D11),";",""))+1)</f>
        <v/>
      </c>
      <c r="G11" s="11" t="n"/>
      <c r="H11" s="11" t="n"/>
      <c r="I11" s="11" t="n"/>
    </row>
    <row r="12">
      <c r="A12" s="11" t="n"/>
      <c r="B12" s="11" t="n"/>
      <c r="C12" s="11" t="n"/>
      <c r="D12" s="11" t="n"/>
      <c r="E12" s="40">
        <f>IF(TRIM(C12)="","",LEN(TRIM(C12))-LEN(SUBSTITUTE(TRIM(C12),";",""))+1)</f>
        <v/>
      </c>
      <c r="F12" s="40">
        <f>IF(TRIM(D12)="","",LEN(TRIM(D12))-LEN(SUBSTITUTE(TRIM(D12),";",""))+1)</f>
        <v/>
      </c>
      <c r="G12" s="11" t="n"/>
      <c r="H12" s="11" t="n"/>
      <c r="I12" s="11" t="n"/>
    </row>
    <row r="13">
      <c r="A13" s="11" t="n"/>
      <c r="B13" s="11" t="n"/>
      <c r="C13" s="11" t="n"/>
      <c r="D13" s="11" t="n"/>
      <c r="E13" s="40">
        <f>IF(TRIM(C13)="","",LEN(TRIM(C13))-LEN(SUBSTITUTE(TRIM(C13),";",""))+1)</f>
        <v/>
      </c>
      <c r="F13" s="40">
        <f>IF(TRIM(D13)="","",LEN(TRIM(D13))-LEN(SUBSTITUTE(TRIM(D13),";",""))+1)</f>
        <v/>
      </c>
      <c r="G13" s="11" t="n"/>
      <c r="H13" s="11" t="n"/>
      <c r="I13" s="11" t="n"/>
    </row>
    <row r="14">
      <c r="A14" s="11" t="n"/>
      <c r="B14" s="11" t="n"/>
      <c r="C14" s="11" t="n"/>
      <c r="D14" s="11" t="n"/>
      <c r="E14" s="40">
        <f>IF(TRIM(C14)="","",LEN(TRIM(C14))-LEN(SUBSTITUTE(TRIM(C14),";",""))+1)</f>
        <v/>
      </c>
      <c r="F14" s="40">
        <f>IF(TRIM(D14)="","",LEN(TRIM(D14))-LEN(SUBSTITUTE(TRIM(D14),";",""))+1)</f>
        <v/>
      </c>
      <c r="G14" s="11" t="n"/>
      <c r="H14" s="11" t="n"/>
      <c r="I14" s="11" t="n"/>
    </row>
    <row r="15">
      <c r="A15" s="11" t="n"/>
      <c r="B15" s="11" t="n"/>
      <c r="C15" s="11" t="n"/>
      <c r="D15" s="11" t="n"/>
      <c r="E15" s="40">
        <f>IF(TRIM(C15)="","",LEN(TRIM(C15))-LEN(SUBSTITUTE(TRIM(C15),";",""))+1)</f>
        <v/>
      </c>
      <c r="F15" s="40">
        <f>IF(TRIM(D15)="","",LEN(TRIM(D15))-LEN(SUBSTITUTE(TRIM(D15),";",""))+1)</f>
        <v/>
      </c>
      <c r="G15" s="11" t="n"/>
      <c r="H15" s="11" t="n"/>
      <c r="I15" s="11" t="n"/>
    </row>
    <row r="16">
      <c r="A16" s="11" t="n"/>
      <c r="B16" s="11" t="n"/>
      <c r="C16" s="11" t="n"/>
      <c r="D16" s="11" t="n"/>
      <c r="E16" s="40">
        <f>IF(TRIM(C16)="","",LEN(TRIM(C16))-LEN(SUBSTITUTE(TRIM(C16),";",""))+1)</f>
        <v/>
      </c>
      <c r="F16" s="40">
        <f>IF(TRIM(D16)="","",LEN(TRIM(D16))-LEN(SUBSTITUTE(TRIM(D16),";",""))+1)</f>
        <v/>
      </c>
      <c r="G16" s="11" t="n"/>
      <c r="H16" s="11" t="n"/>
      <c r="I16" s="11" t="n"/>
    </row>
    <row r="17">
      <c r="A17" s="11" t="n"/>
      <c r="B17" s="11" t="n"/>
      <c r="C17" s="11" t="n"/>
      <c r="D17" s="11" t="n"/>
      <c r="E17" s="40">
        <f>IF(TRIM(C17)="","",LEN(TRIM(C17))-LEN(SUBSTITUTE(TRIM(C17),";",""))+1)</f>
        <v/>
      </c>
      <c r="F17" s="40">
        <f>IF(TRIM(D17)="","",LEN(TRIM(D17))-LEN(SUBSTITUTE(TRIM(D17),";",""))+1)</f>
        <v/>
      </c>
      <c r="G17" s="11" t="n"/>
      <c r="H17" s="11" t="n"/>
      <c r="I17" s="11" t="n"/>
    </row>
    <row r="18">
      <c r="A18" s="11" t="n"/>
      <c r="B18" s="11" t="n"/>
      <c r="C18" s="11" t="n"/>
      <c r="D18" s="11" t="n"/>
      <c r="E18" s="40">
        <f>IF(TRIM(C18)="","",LEN(TRIM(C18))-LEN(SUBSTITUTE(TRIM(C18),";",""))+1)</f>
        <v/>
      </c>
      <c r="F18" s="40">
        <f>IF(TRIM(D18)="","",LEN(TRIM(D18))-LEN(SUBSTITUTE(TRIM(D18),";",""))+1)</f>
        <v/>
      </c>
      <c r="G18" s="11" t="n"/>
      <c r="H18" s="11" t="n"/>
      <c r="I18" s="11" t="n"/>
    </row>
    <row r="19">
      <c r="A19" s="11" t="n"/>
      <c r="B19" s="11" t="n"/>
      <c r="C19" s="11" t="n"/>
      <c r="D19" s="11" t="n"/>
      <c r="E19" s="40">
        <f>IF(TRIM(C19)="","",LEN(TRIM(C19))-LEN(SUBSTITUTE(TRIM(C19),";",""))+1)</f>
        <v/>
      </c>
      <c r="F19" s="40">
        <f>IF(TRIM(D19)="","",LEN(TRIM(D19))-LEN(SUBSTITUTE(TRIM(D19),";",""))+1)</f>
        <v/>
      </c>
      <c r="G19" s="11" t="n"/>
      <c r="H19" s="11" t="n"/>
      <c r="I19" s="11" t="n"/>
    </row>
    <row r="20">
      <c r="A20" s="11" t="n"/>
      <c r="B20" s="11" t="n"/>
      <c r="C20" s="11" t="n"/>
      <c r="D20" s="11" t="n"/>
      <c r="E20" s="40">
        <f>IF(TRIM(C20)="","",LEN(TRIM(C20))-LEN(SUBSTITUTE(TRIM(C20),";",""))+1)</f>
        <v/>
      </c>
      <c r="F20" s="40">
        <f>IF(TRIM(D20)="","",LEN(TRIM(D20))-LEN(SUBSTITUTE(TRIM(D20),";",""))+1)</f>
        <v/>
      </c>
      <c r="G20" s="11" t="n"/>
      <c r="H20" s="11" t="n"/>
      <c r="I20" s="11" t="n"/>
    </row>
    <row r="21">
      <c r="A21" s="11" t="n"/>
      <c r="B21" s="11" t="n"/>
      <c r="C21" s="11" t="n"/>
      <c r="D21" s="11" t="n"/>
      <c r="E21" s="40">
        <f>IF(TRIM(C21)="","",LEN(TRIM(C21))-LEN(SUBSTITUTE(TRIM(C21),";",""))+1)</f>
        <v/>
      </c>
      <c r="F21" s="40">
        <f>IF(TRIM(D21)="","",LEN(TRIM(D21))-LEN(SUBSTITUTE(TRIM(D21),";",""))+1)</f>
        <v/>
      </c>
      <c r="G21" s="11" t="n"/>
      <c r="H21" s="11" t="n"/>
      <c r="I21" s="11" t="n"/>
    </row>
    <row r="22">
      <c r="A22" s="11" t="n"/>
      <c r="B22" s="11" t="n"/>
      <c r="C22" s="11" t="n"/>
      <c r="D22" s="11" t="n"/>
      <c r="E22" s="40">
        <f>IF(TRIM(C22)="","",LEN(TRIM(C22))-LEN(SUBSTITUTE(TRIM(C22),";",""))+1)</f>
        <v/>
      </c>
      <c r="F22" s="40">
        <f>IF(TRIM(D22)="","",LEN(TRIM(D22))-LEN(SUBSTITUTE(TRIM(D22),";",""))+1)</f>
        <v/>
      </c>
      <c r="G22" s="11" t="n"/>
      <c r="H22" s="11" t="n"/>
      <c r="I22" s="11" t="n"/>
    </row>
    <row r="23">
      <c r="A23" s="11" t="n"/>
      <c r="B23" s="11" t="n"/>
      <c r="C23" s="11" t="n"/>
      <c r="D23" s="11" t="n"/>
      <c r="E23" s="40">
        <f>IF(TRIM(C23)="","",LEN(TRIM(C23))-LEN(SUBSTITUTE(TRIM(C23),";",""))+1)</f>
        <v/>
      </c>
      <c r="F23" s="40">
        <f>IF(TRIM(D23)="","",LEN(TRIM(D23))-LEN(SUBSTITUTE(TRIM(D23),";",""))+1)</f>
        <v/>
      </c>
      <c r="G23" s="11" t="n"/>
      <c r="H23" s="11" t="n"/>
      <c r="I23" s="11" t="n"/>
    </row>
    <row r="24">
      <c r="A24" s="11" t="n"/>
      <c r="B24" s="11" t="n"/>
      <c r="C24" s="11" t="n"/>
      <c r="D24" s="11" t="n"/>
      <c r="E24" s="40">
        <f>IF(TRIM(C24)="","",LEN(TRIM(C24))-LEN(SUBSTITUTE(TRIM(C24),";",""))+1)</f>
        <v/>
      </c>
      <c r="F24" s="40">
        <f>IF(TRIM(D24)="","",LEN(TRIM(D24))-LEN(SUBSTITUTE(TRIM(D24),";",""))+1)</f>
        <v/>
      </c>
      <c r="G24" s="11" t="n"/>
      <c r="H24" s="11" t="n"/>
      <c r="I24" s="11" t="n"/>
    </row>
    <row r="25">
      <c r="A25" s="11" t="n"/>
      <c r="B25" s="11" t="n"/>
      <c r="C25" s="11" t="n"/>
      <c r="D25" s="11" t="n"/>
      <c r="E25" s="40">
        <f>IF(TRIM(C25)="","",LEN(TRIM(C25))-LEN(SUBSTITUTE(TRIM(C25),";",""))+1)</f>
        <v/>
      </c>
      <c r="F25" s="40">
        <f>IF(TRIM(D25)="","",LEN(TRIM(D25))-LEN(SUBSTITUTE(TRIM(D25),";",""))+1)</f>
        <v/>
      </c>
      <c r="G25" s="11" t="n"/>
      <c r="H25" s="11" t="n"/>
      <c r="I25" s="11" t="n"/>
    </row>
    <row r="26">
      <c r="A26" s="11" t="n"/>
      <c r="B26" s="11" t="n"/>
      <c r="C26" s="11" t="n"/>
      <c r="D26" s="11" t="n"/>
      <c r="E26" s="40">
        <f>IF(TRIM(C26)="","",LEN(TRIM(C26))-LEN(SUBSTITUTE(TRIM(C26),";",""))+1)</f>
        <v/>
      </c>
      <c r="F26" s="40">
        <f>IF(TRIM(D26)="","",LEN(TRIM(D26))-LEN(SUBSTITUTE(TRIM(D26),";",""))+1)</f>
        <v/>
      </c>
      <c r="G26" s="11" t="n"/>
      <c r="H26" s="11" t="n"/>
      <c r="I26" s="11" t="n"/>
    </row>
    <row r="27">
      <c r="A27" s="11" t="n"/>
      <c r="B27" s="11" t="n"/>
      <c r="C27" s="11" t="n"/>
      <c r="D27" s="11" t="n"/>
      <c r="E27" s="40">
        <f>IF(TRIM(C27)="","",LEN(TRIM(C27))-LEN(SUBSTITUTE(TRIM(C27),";",""))+1)</f>
        <v/>
      </c>
      <c r="F27" s="40">
        <f>IF(TRIM(D27)="","",LEN(TRIM(D27))-LEN(SUBSTITUTE(TRIM(D27),";",""))+1)</f>
        <v/>
      </c>
      <c r="G27" s="11" t="n"/>
      <c r="H27" s="11" t="n"/>
      <c r="I27" s="11" t="n"/>
    </row>
    <row r="28">
      <c r="A28" s="11" t="n"/>
      <c r="B28" s="11" t="n"/>
      <c r="C28" s="11" t="n"/>
      <c r="D28" s="11" t="n"/>
      <c r="E28" s="40">
        <f>IF(TRIM(C28)="","",LEN(TRIM(C28))-LEN(SUBSTITUTE(TRIM(C28),";",""))+1)</f>
        <v/>
      </c>
      <c r="F28" s="40">
        <f>IF(TRIM(D28)="","",LEN(TRIM(D28))-LEN(SUBSTITUTE(TRIM(D28),";",""))+1)</f>
        <v/>
      </c>
      <c r="G28" s="11" t="n"/>
      <c r="H28" s="11" t="n"/>
      <c r="I28" s="11" t="n"/>
    </row>
    <row r="29">
      <c r="A29" s="11" t="n"/>
      <c r="B29" s="11" t="n"/>
      <c r="C29" s="11" t="n"/>
      <c r="D29" s="11" t="n"/>
      <c r="E29" s="40">
        <f>IF(TRIM(C29)="","",LEN(TRIM(C29))-LEN(SUBSTITUTE(TRIM(C29),";",""))+1)</f>
        <v/>
      </c>
      <c r="F29" s="40">
        <f>IF(TRIM(D29)="","",LEN(TRIM(D29))-LEN(SUBSTITUTE(TRIM(D29),";",""))+1)</f>
        <v/>
      </c>
      <c r="G29" s="11" t="n"/>
      <c r="H29" s="11" t="n"/>
      <c r="I29" s="11" t="n"/>
    </row>
    <row r="30">
      <c r="A30" s="11" t="n"/>
      <c r="B30" s="11" t="n"/>
      <c r="C30" s="11" t="n"/>
      <c r="D30" s="11" t="n"/>
      <c r="E30" s="40">
        <f>IF(TRIM(C30)="","",LEN(TRIM(C30))-LEN(SUBSTITUTE(TRIM(C30),";",""))+1)</f>
        <v/>
      </c>
      <c r="F30" s="40">
        <f>IF(TRIM(D30)="","",LEN(TRIM(D30))-LEN(SUBSTITUTE(TRIM(D30),";",""))+1)</f>
        <v/>
      </c>
      <c r="G30" s="11" t="n"/>
      <c r="H30" s="11" t="n"/>
      <c r="I30" s="11" t="n"/>
    </row>
    <row r="31">
      <c r="A31" s="11" t="n"/>
      <c r="B31" s="11" t="n"/>
      <c r="C31" s="11" t="n"/>
      <c r="D31" s="11" t="n"/>
      <c r="E31" s="40">
        <f>IF(TRIM(C31)="","",LEN(TRIM(C31))-LEN(SUBSTITUTE(TRIM(C31),";",""))+1)</f>
        <v/>
      </c>
      <c r="F31" s="40">
        <f>IF(TRIM(D31)="","",LEN(TRIM(D31))-LEN(SUBSTITUTE(TRIM(D31),";",""))+1)</f>
        <v/>
      </c>
      <c r="G31" s="11" t="n"/>
      <c r="H31" s="11" t="n"/>
      <c r="I31" s="11" t="n"/>
    </row>
    <row r="32">
      <c r="A32" s="11" t="n"/>
      <c r="B32" s="11" t="n"/>
      <c r="C32" s="11" t="n"/>
      <c r="D32" s="11" t="n"/>
      <c r="E32" s="40">
        <f>IF(TRIM(C32)="","",LEN(TRIM(C32))-LEN(SUBSTITUTE(TRIM(C32),";",""))+1)</f>
        <v/>
      </c>
      <c r="F32" s="40">
        <f>IF(TRIM(D32)="","",LEN(TRIM(D32))-LEN(SUBSTITUTE(TRIM(D32),";",""))+1)</f>
        <v/>
      </c>
      <c r="G32" s="11" t="n"/>
      <c r="H32" s="11" t="n"/>
      <c r="I32" s="11" t="n"/>
    </row>
    <row r="33">
      <c r="A33" s="11" t="n"/>
      <c r="B33" s="11" t="n"/>
      <c r="C33" s="11" t="n"/>
      <c r="D33" s="11" t="n"/>
      <c r="E33" s="40">
        <f>IF(TRIM(C33)="","",LEN(TRIM(C33))-LEN(SUBSTITUTE(TRIM(C33),";",""))+1)</f>
        <v/>
      </c>
      <c r="F33" s="40">
        <f>IF(TRIM(D33)="","",LEN(TRIM(D33))-LEN(SUBSTITUTE(TRIM(D33),";",""))+1)</f>
        <v/>
      </c>
      <c r="G33" s="11" t="n"/>
      <c r="H33" s="11" t="n"/>
      <c r="I33" s="11" t="n"/>
    </row>
    <row r="34">
      <c r="A34" s="11" t="n"/>
      <c r="B34" s="11" t="n"/>
      <c r="C34" s="11" t="n"/>
      <c r="D34" s="11" t="n"/>
      <c r="E34" s="40">
        <f>IF(TRIM(C34)="","",LEN(TRIM(C34))-LEN(SUBSTITUTE(TRIM(C34),";",""))+1)</f>
        <v/>
      </c>
      <c r="F34" s="40">
        <f>IF(TRIM(D34)="","",LEN(TRIM(D34))-LEN(SUBSTITUTE(TRIM(D34),";",""))+1)</f>
        <v/>
      </c>
      <c r="G34" s="11" t="n"/>
      <c r="H34" s="11" t="n"/>
      <c r="I34" s="11" t="n"/>
    </row>
    <row r="35">
      <c r="A35" s="11" t="n"/>
      <c r="B35" s="11" t="n"/>
      <c r="C35" s="11" t="n"/>
      <c r="D35" s="11" t="n"/>
      <c r="E35" s="40">
        <f>IF(TRIM(C35)="","",LEN(TRIM(C35))-LEN(SUBSTITUTE(TRIM(C35),";",""))+1)</f>
        <v/>
      </c>
      <c r="F35" s="40">
        <f>IF(TRIM(D35)="","",LEN(TRIM(D35))-LEN(SUBSTITUTE(TRIM(D35),";",""))+1)</f>
        <v/>
      </c>
      <c r="G35" s="11" t="n"/>
      <c r="H35" s="11" t="n"/>
      <c r="I35" s="11" t="n"/>
    </row>
    <row r="36">
      <c r="A36" s="11" t="n"/>
      <c r="B36" s="11" t="n"/>
      <c r="C36" s="11" t="n"/>
      <c r="D36" s="11" t="n"/>
      <c r="E36" s="40">
        <f>IF(TRIM(C36)="","",LEN(TRIM(C36))-LEN(SUBSTITUTE(TRIM(C36),";",""))+1)</f>
        <v/>
      </c>
      <c r="F36" s="40">
        <f>IF(TRIM(D36)="","",LEN(TRIM(D36))-LEN(SUBSTITUTE(TRIM(D36),";",""))+1)</f>
        <v/>
      </c>
      <c r="G36" s="11" t="n"/>
      <c r="H36" s="11" t="n"/>
      <c r="I36" s="11" t="n"/>
    </row>
    <row r="37">
      <c r="A37" s="11" t="n"/>
      <c r="B37" s="11" t="n"/>
      <c r="C37" s="11" t="n"/>
      <c r="D37" s="11" t="n"/>
      <c r="E37" s="40">
        <f>IF(TRIM(C37)="","",LEN(TRIM(C37))-LEN(SUBSTITUTE(TRIM(C37),";",""))+1)</f>
        <v/>
      </c>
      <c r="F37" s="40">
        <f>IF(TRIM(D37)="","",LEN(TRIM(D37))-LEN(SUBSTITUTE(TRIM(D37),";",""))+1)</f>
        <v/>
      </c>
      <c r="G37" s="11" t="n"/>
      <c r="H37" s="11" t="n"/>
      <c r="I37" s="11" t="n"/>
    </row>
    <row r="38">
      <c r="A38" s="11" t="n"/>
      <c r="B38" s="11" t="n"/>
      <c r="C38" s="11" t="n"/>
      <c r="D38" s="11" t="n"/>
      <c r="E38" s="40">
        <f>IF(TRIM(C38)="","",LEN(TRIM(C38))-LEN(SUBSTITUTE(TRIM(C38),";",""))+1)</f>
        <v/>
      </c>
      <c r="F38" s="40">
        <f>IF(TRIM(D38)="","",LEN(TRIM(D38))-LEN(SUBSTITUTE(TRIM(D38),";",""))+1)</f>
        <v/>
      </c>
      <c r="G38" s="11" t="n"/>
      <c r="H38" s="11" t="n"/>
      <c r="I38" s="11" t="n"/>
    </row>
    <row r="39">
      <c r="A39" s="11" t="n"/>
      <c r="B39" s="11" t="n"/>
      <c r="C39" s="11" t="n"/>
      <c r="D39" s="11" t="n"/>
      <c r="E39" s="40">
        <f>IF(TRIM(C39)="","",LEN(TRIM(C39))-LEN(SUBSTITUTE(TRIM(C39),";",""))+1)</f>
        <v/>
      </c>
      <c r="F39" s="40">
        <f>IF(TRIM(D39)="","",LEN(TRIM(D39))-LEN(SUBSTITUTE(TRIM(D39),";",""))+1)</f>
        <v/>
      </c>
      <c r="G39" s="11" t="n"/>
      <c r="H39" s="11" t="n"/>
      <c r="I39" s="11" t="n"/>
    </row>
    <row r="40">
      <c r="A40" s="11" t="n"/>
      <c r="B40" s="11" t="n"/>
      <c r="C40" s="11" t="n"/>
      <c r="D40" s="11" t="n"/>
      <c r="E40" s="40">
        <f>IF(TRIM(C40)="","",LEN(TRIM(C40))-LEN(SUBSTITUTE(TRIM(C40),";",""))+1)</f>
        <v/>
      </c>
      <c r="F40" s="40">
        <f>IF(TRIM(D40)="","",LEN(TRIM(D40))-LEN(SUBSTITUTE(TRIM(D40),";",""))+1)</f>
        <v/>
      </c>
      <c r="G40" s="11" t="n"/>
      <c r="H40" s="11" t="n"/>
      <c r="I40" s="11" t="n"/>
    </row>
    <row r="41">
      <c r="A41" s="11" t="n"/>
      <c r="B41" s="11" t="n"/>
      <c r="C41" s="11" t="n"/>
      <c r="D41" s="11" t="n"/>
      <c r="E41" s="40">
        <f>IF(TRIM(C41)="","",LEN(TRIM(C41))-LEN(SUBSTITUTE(TRIM(C41),";",""))+1)</f>
        <v/>
      </c>
      <c r="F41" s="40">
        <f>IF(TRIM(D41)="","",LEN(TRIM(D41))-LEN(SUBSTITUTE(TRIM(D41),";",""))+1)</f>
        <v/>
      </c>
      <c r="G41" s="11" t="n"/>
      <c r="H41" s="11" t="n"/>
      <c r="I41" s="11" t="n"/>
    </row>
    <row r="42">
      <c r="A42" s="11" t="n"/>
      <c r="B42" s="11" t="n"/>
      <c r="C42" s="11" t="n"/>
      <c r="D42" s="11" t="n"/>
      <c r="E42" s="40">
        <f>IF(TRIM(C42)="","",LEN(TRIM(C42))-LEN(SUBSTITUTE(TRIM(C42),";",""))+1)</f>
        <v/>
      </c>
      <c r="F42" s="40">
        <f>IF(TRIM(D42)="","",LEN(TRIM(D42))-LEN(SUBSTITUTE(TRIM(D42),";",""))+1)</f>
        <v/>
      </c>
      <c r="G42" s="11" t="n"/>
      <c r="H42" s="11" t="n"/>
      <c r="I42" s="11" t="n"/>
    </row>
    <row r="43">
      <c r="A43" s="11" t="n"/>
      <c r="B43" s="11" t="n"/>
      <c r="C43" s="11" t="n"/>
      <c r="D43" s="11" t="n"/>
      <c r="E43" s="40">
        <f>IF(TRIM(C43)="","",LEN(TRIM(C43))-LEN(SUBSTITUTE(TRIM(C43),";",""))+1)</f>
        <v/>
      </c>
      <c r="F43" s="40">
        <f>IF(TRIM(D43)="","",LEN(TRIM(D43))-LEN(SUBSTITUTE(TRIM(D43),";",""))+1)</f>
        <v/>
      </c>
      <c r="G43" s="11" t="n"/>
      <c r="H43" s="11" t="n"/>
      <c r="I43" s="11" t="n"/>
    </row>
    <row r="44">
      <c r="A44" s="11" t="n"/>
      <c r="B44" s="11" t="n"/>
      <c r="C44" s="11" t="n"/>
      <c r="D44" s="11" t="n"/>
      <c r="E44" s="40">
        <f>IF(TRIM(C44)="","",LEN(TRIM(C44))-LEN(SUBSTITUTE(TRIM(C44),";",""))+1)</f>
        <v/>
      </c>
      <c r="F44" s="40">
        <f>IF(TRIM(D44)="","",LEN(TRIM(D44))-LEN(SUBSTITUTE(TRIM(D44),";",""))+1)</f>
        <v/>
      </c>
      <c r="G44" s="11" t="n"/>
      <c r="H44" s="11" t="n"/>
      <c r="I44" s="11" t="n"/>
    </row>
    <row r="45">
      <c r="A45" s="11" t="n"/>
      <c r="B45" s="11" t="n"/>
      <c r="C45" s="11" t="n"/>
      <c r="D45" s="11" t="n"/>
      <c r="E45" s="40">
        <f>IF(TRIM(C45)="","",LEN(TRIM(C45))-LEN(SUBSTITUTE(TRIM(C45),";",""))+1)</f>
        <v/>
      </c>
      <c r="F45" s="40">
        <f>IF(TRIM(D45)="","",LEN(TRIM(D45))-LEN(SUBSTITUTE(TRIM(D45),";",""))+1)</f>
        <v/>
      </c>
      <c r="G45" s="11" t="n"/>
      <c r="H45" s="11" t="n"/>
      <c r="I45" s="11" t="n"/>
    </row>
    <row r="46">
      <c r="A46" s="11" t="n"/>
      <c r="B46" s="11" t="n"/>
      <c r="C46" s="11" t="n"/>
      <c r="D46" s="11" t="n"/>
      <c r="E46" s="40">
        <f>IF(TRIM(C46)="","",LEN(TRIM(C46))-LEN(SUBSTITUTE(TRIM(C46),";",""))+1)</f>
        <v/>
      </c>
      <c r="F46" s="40">
        <f>IF(TRIM(D46)="","",LEN(TRIM(D46))-LEN(SUBSTITUTE(TRIM(D46),";",""))+1)</f>
        <v/>
      </c>
      <c r="G46" s="11" t="n"/>
      <c r="H46" s="11" t="n"/>
      <c r="I46" s="11" t="n"/>
    </row>
    <row r="47">
      <c r="A47" s="11" t="n"/>
      <c r="B47" s="11" t="n"/>
      <c r="C47" s="11" t="n"/>
      <c r="D47" s="11" t="n"/>
      <c r="E47" s="40">
        <f>IF(TRIM(C47)="","",LEN(TRIM(C47))-LEN(SUBSTITUTE(TRIM(C47),";",""))+1)</f>
        <v/>
      </c>
      <c r="F47" s="40">
        <f>IF(TRIM(D47)="","",LEN(TRIM(D47))-LEN(SUBSTITUTE(TRIM(D47),";",""))+1)</f>
        <v/>
      </c>
      <c r="G47" s="11" t="n"/>
      <c r="H47" s="11" t="n"/>
      <c r="I47" s="11" t="n"/>
    </row>
    <row r="48">
      <c r="A48" s="11" t="n"/>
      <c r="B48" s="11" t="n"/>
      <c r="C48" s="11" t="n"/>
      <c r="D48" s="11" t="n"/>
      <c r="E48" s="40">
        <f>IF(TRIM(C48)="","",LEN(TRIM(C48))-LEN(SUBSTITUTE(TRIM(C48),";",""))+1)</f>
        <v/>
      </c>
      <c r="F48" s="40">
        <f>IF(TRIM(D48)="","",LEN(TRIM(D48))-LEN(SUBSTITUTE(TRIM(D48),";",""))+1)</f>
        <v/>
      </c>
      <c r="G48" s="11" t="n"/>
      <c r="H48" s="11" t="n"/>
      <c r="I48" s="11" t="n"/>
    </row>
    <row r="49">
      <c r="A49" s="11" t="n"/>
      <c r="B49" s="11" t="n"/>
      <c r="C49" s="11" t="n"/>
      <c r="D49" s="11" t="n"/>
      <c r="E49" s="40">
        <f>IF(TRIM(C49)="","",LEN(TRIM(C49))-LEN(SUBSTITUTE(TRIM(C49),";",""))+1)</f>
        <v/>
      </c>
      <c r="F49" s="40">
        <f>IF(TRIM(D49)="","",LEN(TRIM(D49))-LEN(SUBSTITUTE(TRIM(D49),";",""))+1)</f>
        <v/>
      </c>
      <c r="G49" s="11" t="n"/>
      <c r="H49" s="11" t="n"/>
      <c r="I49" s="11" t="n"/>
    </row>
    <row r="50">
      <c r="A50" s="11" t="n"/>
      <c r="B50" s="11" t="n"/>
      <c r="C50" s="11" t="n"/>
      <c r="D50" s="11" t="n"/>
      <c r="E50" s="40">
        <f>IF(TRIM(C50)="","",LEN(TRIM(C50))-LEN(SUBSTITUTE(TRIM(C50),";",""))+1)</f>
        <v/>
      </c>
      <c r="F50" s="40">
        <f>IF(TRIM(D50)="","",LEN(TRIM(D50))-LEN(SUBSTITUTE(TRIM(D50),";",""))+1)</f>
        <v/>
      </c>
      <c r="G50" s="11" t="n"/>
      <c r="H50" s="11" t="n"/>
      <c r="I50" s="11" t="n"/>
    </row>
    <row r="51">
      <c r="A51" s="11" t="n"/>
      <c r="B51" s="11" t="n"/>
      <c r="C51" s="11" t="n"/>
      <c r="D51" s="11" t="n"/>
      <c r="E51" s="40">
        <f>IF(TRIM(C51)="","",LEN(TRIM(C51))-LEN(SUBSTITUTE(TRIM(C51),";",""))+1)</f>
        <v/>
      </c>
      <c r="F51" s="40">
        <f>IF(TRIM(D51)="","",LEN(TRIM(D51))-LEN(SUBSTITUTE(TRIM(D51),";",""))+1)</f>
        <v/>
      </c>
      <c r="G51" s="11" t="n"/>
      <c r="H51" s="11" t="n"/>
      <c r="I51" s="11" t="n"/>
    </row>
    <row r="52">
      <c r="A52" s="11" t="n"/>
      <c r="B52" s="11" t="n"/>
      <c r="C52" s="11" t="n"/>
      <c r="D52" s="11" t="n"/>
      <c r="E52" s="40">
        <f>IF(TRIM(C52)="","",LEN(TRIM(C52))-LEN(SUBSTITUTE(TRIM(C52),";",""))+1)</f>
        <v/>
      </c>
      <c r="F52" s="40">
        <f>IF(TRIM(D52)="","",LEN(TRIM(D52))-LEN(SUBSTITUTE(TRIM(D52),";",""))+1)</f>
        <v/>
      </c>
      <c r="G52" s="11" t="n"/>
      <c r="H52" s="11" t="n"/>
      <c r="I52" s="11" t="n"/>
    </row>
    <row r="53">
      <c r="A53" s="11" t="n"/>
      <c r="B53" s="11" t="n"/>
      <c r="C53" s="11" t="n"/>
      <c r="D53" s="11" t="n"/>
      <c r="E53" s="40">
        <f>IF(TRIM(C53)="","",LEN(TRIM(C53))-LEN(SUBSTITUTE(TRIM(C53),";",""))+1)</f>
        <v/>
      </c>
      <c r="F53" s="40">
        <f>IF(TRIM(D53)="","",LEN(TRIM(D53))-LEN(SUBSTITUTE(TRIM(D53),";",""))+1)</f>
        <v/>
      </c>
      <c r="G53" s="11" t="n"/>
      <c r="H53" s="11" t="n"/>
      <c r="I53" s="11" t="n"/>
    </row>
    <row r="54">
      <c r="A54" s="11" t="n"/>
      <c r="B54" s="11" t="n"/>
      <c r="C54" s="11" t="n"/>
      <c r="D54" s="11" t="n"/>
      <c r="E54" s="40">
        <f>IF(TRIM(C54)="","",LEN(TRIM(C54))-LEN(SUBSTITUTE(TRIM(C54),";",""))+1)</f>
        <v/>
      </c>
      <c r="F54" s="40">
        <f>IF(TRIM(D54)="","",LEN(TRIM(D54))-LEN(SUBSTITUTE(TRIM(D54),";",""))+1)</f>
        <v/>
      </c>
      <c r="G54" s="11" t="n"/>
      <c r="H54" s="11" t="n"/>
      <c r="I54" s="11" t="n"/>
    </row>
    <row r="55">
      <c r="A55" s="11" t="n"/>
      <c r="B55" s="11" t="n"/>
      <c r="C55" s="11" t="n"/>
      <c r="D55" s="11" t="n"/>
      <c r="E55" s="40">
        <f>IF(TRIM(C55)="","",LEN(TRIM(C55))-LEN(SUBSTITUTE(TRIM(C55),";",""))+1)</f>
        <v/>
      </c>
      <c r="F55" s="40">
        <f>IF(TRIM(D55)="","",LEN(TRIM(D55))-LEN(SUBSTITUTE(TRIM(D55),";",""))+1)</f>
        <v/>
      </c>
      <c r="G55" s="11" t="n"/>
      <c r="H55" s="11" t="n"/>
      <c r="I55" s="11" t="n"/>
    </row>
    <row r="56">
      <c r="A56" s="11" t="n"/>
      <c r="B56" s="11" t="n"/>
      <c r="C56" s="11" t="n"/>
      <c r="D56" s="11" t="n"/>
      <c r="E56" s="40">
        <f>IF(TRIM(C56)="","",LEN(TRIM(C56))-LEN(SUBSTITUTE(TRIM(C56),";",""))+1)</f>
        <v/>
      </c>
      <c r="F56" s="40">
        <f>IF(TRIM(D56)="","",LEN(TRIM(D56))-LEN(SUBSTITUTE(TRIM(D56),";",""))+1)</f>
        <v/>
      </c>
      <c r="G56" s="11" t="n"/>
      <c r="H56" s="11" t="n"/>
      <c r="I56" s="11" t="n"/>
    </row>
    <row r="57">
      <c r="A57" s="11" t="n"/>
      <c r="B57" s="11" t="n"/>
      <c r="C57" s="11" t="n"/>
      <c r="D57" s="11" t="n"/>
      <c r="E57" s="40">
        <f>IF(TRIM(C57)="","",LEN(TRIM(C57))-LEN(SUBSTITUTE(TRIM(C57),";",""))+1)</f>
        <v/>
      </c>
      <c r="F57" s="40">
        <f>IF(TRIM(D57)="","",LEN(TRIM(D57))-LEN(SUBSTITUTE(TRIM(D57),";",""))+1)</f>
        <v/>
      </c>
      <c r="G57" s="11" t="n"/>
      <c r="H57" s="11" t="n"/>
      <c r="I57" s="11" t="n"/>
    </row>
    <row r="58">
      <c r="A58" s="11" t="n"/>
      <c r="B58" s="11" t="n"/>
      <c r="C58" s="11" t="n"/>
      <c r="D58" s="11" t="n"/>
      <c r="E58" s="40">
        <f>IF(TRIM(C58)="","",LEN(TRIM(C58))-LEN(SUBSTITUTE(TRIM(C58),";",""))+1)</f>
        <v/>
      </c>
      <c r="F58" s="40">
        <f>IF(TRIM(D58)="","",LEN(TRIM(D58))-LEN(SUBSTITUTE(TRIM(D58),";",""))+1)</f>
        <v/>
      </c>
      <c r="G58" s="11" t="n"/>
      <c r="H58" s="11" t="n"/>
      <c r="I58" s="11" t="n"/>
    </row>
    <row r="59">
      <c r="A59" s="11" t="n"/>
      <c r="B59" s="11" t="n"/>
      <c r="C59" s="11" t="n"/>
      <c r="D59" s="11" t="n"/>
      <c r="E59" s="40">
        <f>IF(TRIM(C59)="","",LEN(TRIM(C59))-LEN(SUBSTITUTE(TRIM(C59),";",""))+1)</f>
        <v/>
      </c>
      <c r="F59" s="40">
        <f>IF(TRIM(D59)="","",LEN(TRIM(D59))-LEN(SUBSTITUTE(TRIM(D59),";",""))+1)</f>
        <v/>
      </c>
      <c r="G59" s="11" t="n"/>
      <c r="H59" s="11" t="n"/>
      <c r="I59" s="11" t="n"/>
    </row>
    <row r="60">
      <c r="A60" s="11" t="n"/>
      <c r="B60" s="11" t="n"/>
      <c r="C60" s="11" t="n"/>
      <c r="D60" s="11" t="n"/>
      <c r="E60" s="40">
        <f>IF(TRIM(C60)="","",LEN(TRIM(C60))-LEN(SUBSTITUTE(TRIM(C60),";",""))+1)</f>
        <v/>
      </c>
      <c r="F60" s="40">
        <f>IF(TRIM(D60)="","",LEN(TRIM(D60))-LEN(SUBSTITUTE(TRIM(D60),";",""))+1)</f>
        <v/>
      </c>
      <c r="G60" s="11" t="n"/>
      <c r="H60" s="11" t="n"/>
      <c r="I60" s="11" t="n"/>
    </row>
    <row r="61">
      <c r="A61" s="11" t="n"/>
      <c r="B61" s="11" t="n"/>
      <c r="C61" s="11" t="n"/>
      <c r="D61" s="11" t="n"/>
      <c r="E61" s="40">
        <f>IF(TRIM(C61)="","",LEN(TRIM(C61))-LEN(SUBSTITUTE(TRIM(C61),";",""))+1)</f>
        <v/>
      </c>
      <c r="F61" s="40">
        <f>IF(TRIM(D61)="","",LEN(TRIM(D61))-LEN(SUBSTITUTE(TRIM(D61),";",""))+1)</f>
        <v/>
      </c>
      <c r="G61" s="11" t="n"/>
      <c r="H61" s="11" t="n"/>
      <c r="I61" s="11" t="n"/>
    </row>
    <row r="62">
      <c r="A62" s="11" t="n"/>
      <c r="B62" s="11" t="n"/>
      <c r="C62" s="11" t="n"/>
      <c r="D62" s="11" t="n"/>
      <c r="E62" s="40">
        <f>IF(TRIM(C62)="","",LEN(TRIM(C62))-LEN(SUBSTITUTE(TRIM(C62),";",""))+1)</f>
        <v/>
      </c>
      <c r="F62" s="40">
        <f>IF(TRIM(D62)="","",LEN(TRIM(D62))-LEN(SUBSTITUTE(TRIM(D62),";",""))+1)</f>
        <v/>
      </c>
      <c r="G62" s="11" t="n"/>
      <c r="H62" s="11" t="n"/>
      <c r="I62" s="11" t="n"/>
    </row>
    <row r="63">
      <c r="A63" s="11" t="n"/>
      <c r="B63" s="11" t="n"/>
      <c r="C63" s="11" t="n"/>
      <c r="D63" s="11" t="n"/>
      <c r="E63" s="40">
        <f>IF(TRIM(C63)="","",LEN(TRIM(C63))-LEN(SUBSTITUTE(TRIM(C63),";",""))+1)</f>
        <v/>
      </c>
      <c r="F63" s="40">
        <f>IF(TRIM(D63)="","",LEN(TRIM(D63))-LEN(SUBSTITUTE(TRIM(D63),";",""))+1)</f>
        <v/>
      </c>
      <c r="G63" s="11" t="n"/>
      <c r="H63" s="11" t="n"/>
      <c r="I63" s="11" t="n"/>
    </row>
    <row r="64">
      <c r="A64" s="11" t="n"/>
      <c r="B64" s="11" t="n"/>
      <c r="C64" s="11" t="n"/>
      <c r="D64" s="11" t="n"/>
      <c r="E64" s="40">
        <f>IF(TRIM(C64)="","",LEN(TRIM(C64))-LEN(SUBSTITUTE(TRIM(C64),";",""))+1)</f>
        <v/>
      </c>
      <c r="F64" s="40">
        <f>IF(TRIM(D64)="","",LEN(TRIM(D64))-LEN(SUBSTITUTE(TRIM(D64),";",""))+1)</f>
        <v/>
      </c>
      <c r="G64" s="11" t="n"/>
      <c r="H64" s="11" t="n"/>
      <c r="I64" s="11" t="n"/>
    </row>
  </sheetData>
  <dataValidations count="1">
    <dataValidation sqref="A6:A64" showDropDown="0" showInputMessage="0" showErrorMessage="0" allowBlank="1" error="Επιλέξτε τιμή από τη λίστα." type="list">
      <formula1>"ΕΕ1,ΕΕ2,ΕΕ3"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2026-09-20T19:44:25Z</dcterms:created>
  <dcterms:modified xmlns:dcterms="http://purl.org/dc/terms/" xmlns:xsi="http://www.w3.org/2001/XMLSchema-instance" xsi:type="dcterms:W3CDTF">2026-09-20T19:44:26Z</dcterms:modified>
</cp:coreProperties>
</file>